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naja/GDrive_Science/STRI/STEM_TABLES_FORESTGEO/3_BCI/BCI50ha_StemReconstruction_Rtables/data_paper_and_repo_publication/manuscript_outputs/"/>
    </mc:Choice>
  </mc:AlternateContent>
  <xr:revisionPtr revIDLastSave="0" documentId="13_ncr:9_{FDE6650A-410E-934A-965A-354069F934E4}" xr6:coauthVersionLast="47" xr6:coauthVersionMax="47" xr10:uidLastSave="{00000000-0000-0000-0000-000000000000}"/>
  <bookViews>
    <workbookView xWindow="0" yWindow="660" windowWidth="30240" windowHeight="18980" xr2:uid="{52ED15B5-4C0C-0144-A24C-B0F45AB2E817}"/>
  </bookViews>
  <sheets>
    <sheet name="census-9_species" sheetId="1" r:id="rId1"/>
  </sheets>
  <definedNames>
    <definedName name="_xlnm._FilterDatabase" localSheetId="0" hidden="1">'census-9_species'!$A$1:$H$1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2" i="1"/>
  <c r="I3" i="1" s="1"/>
  <c r="I4" i="1" s="1"/>
</calcChain>
</file>

<file path=xl/sharedStrings.xml><?xml version="1.0" encoding="utf-8"?>
<sst xmlns="http://schemas.openxmlformats.org/spreadsheetml/2006/main" count="1209" uniqueCount="847">
  <si>
    <t>sp</t>
  </si>
  <si>
    <t>Latin</t>
  </si>
  <si>
    <t>Family</t>
  </si>
  <si>
    <t>Genus</t>
  </si>
  <si>
    <t>individuals</t>
  </si>
  <si>
    <t>ba_m2</t>
  </si>
  <si>
    <t>pct_individuals</t>
  </si>
  <si>
    <t>pct_ba</t>
  </si>
  <si>
    <t>hybapr</t>
  </si>
  <si>
    <t>Pombalia prunifolia</t>
  </si>
  <si>
    <t>Violaceae</t>
  </si>
  <si>
    <t>Pombalia</t>
  </si>
  <si>
    <t>faraoc</t>
  </si>
  <si>
    <t>Faramea occidentalis</t>
  </si>
  <si>
    <t>Rubiaceae</t>
  </si>
  <si>
    <t>Faramea</t>
  </si>
  <si>
    <t>tri2tu</t>
  </si>
  <si>
    <t>Trichilia tuberculata</t>
  </si>
  <si>
    <t>Meliaceae</t>
  </si>
  <si>
    <t>Trichilia</t>
  </si>
  <si>
    <t>des2pa</t>
  </si>
  <si>
    <t>Desmopsis panamensis</t>
  </si>
  <si>
    <t>Annonaceae</t>
  </si>
  <si>
    <t>Desmopsis</t>
  </si>
  <si>
    <t>alsebl</t>
  </si>
  <si>
    <t>Alseis blackiana</t>
  </si>
  <si>
    <t>Alseis</t>
  </si>
  <si>
    <t>mourmy</t>
  </si>
  <si>
    <t>Mouriri myrtilloides</t>
  </si>
  <si>
    <t>Melastomataceae</t>
  </si>
  <si>
    <t>Mouriri</t>
  </si>
  <si>
    <t>tet2pa</t>
  </si>
  <si>
    <t>Protium stevensonii</t>
  </si>
  <si>
    <t>Burseraceae</t>
  </si>
  <si>
    <t>Protium</t>
  </si>
  <si>
    <t>gar2in</t>
  </si>
  <si>
    <t>Garcinia intermedia</t>
  </si>
  <si>
    <t>Clusiaceae</t>
  </si>
  <si>
    <t>Garcinia</t>
  </si>
  <si>
    <t>hirttr</t>
  </si>
  <si>
    <t>Hirtella triandra</t>
  </si>
  <si>
    <t>Chrysobalanaceae</t>
  </si>
  <si>
    <t>Hirtella</t>
  </si>
  <si>
    <t>protte</t>
  </si>
  <si>
    <t>Protium tenuifolium</t>
  </si>
  <si>
    <t>protpa</t>
  </si>
  <si>
    <t>Protium panamense</t>
  </si>
  <si>
    <t>swars2</t>
  </si>
  <si>
    <t>Swartzia simplex var. continentalis</t>
  </si>
  <si>
    <t>Fabaceae</t>
  </si>
  <si>
    <t>Swartzia</t>
  </si>
  <si>
    <t>swars1</t>
  </si>
  <si>
    <t>Swartzia simplex var. grandiflora</t>
  </si>
  <si>
    <t>xyl1ma</t>
  </si>
  <si>
    <t>Xylopia macrantha</t>
  </si>
  <si>
    <t>Xylopia</t>
  </si>
  <si>
    <t>eugega</t>
  </si>
  <si>
    <t>Eugenia galalonensis</t>
  </si>
  <si>
    <t>Myrtaceae</t>
  </si>
  <si>
    <t>Eugenia</t>
  </si>
  <si>
    <t>calolo</t>
  </si>
  <si>
    <t>Calophyllum longifolium</t>
  </si>
  <si>
    <t>Calophyllaceae</t>
  </si>
  <si>
    <t>Calophyllum</t>
  </si>
  <si>
    <t>quaras</t>
  </si>
  <si>
    <t>Quararibea stenophylla</t>
  </si>
  <si>
    <t>Malvaceae</t>
  </si>
  <si>
    <t>Quararibea</t>
  </si>
  <si>
    <t>eugeoe</t>
  </si>
  <si>
    <t>Eugenia oerstediana</t>
  </si>
  <si>
    <t>rinosy</t>
  </si>
  <si>
    <t>Rinorea silvatica</t>
  </si>
  <si>
    <t>Rinorea</t>
  </si>
  <si>
    <t>drypst</t>
  </si>
  <si>
    <t>Drypetes standleyi</t>
  </si>
  <si>
    <t>Putranjivaceae</t>
  </si>
  <si>
    <t>Drypetes</t>
  </si>
  <si>
    <t>simaam</t>
  </si>
  <si>
    <t>Simarouba amara</t>
  </si>
  <si>
    <t>Simaroubaceae</t>
  </si>
  <si>
    <t>Simarouba</t>
  </si>
  <si>
    <t>cou2cu</t>
  </si>
  <si>
    <t>Coussarea suaveolens</t>
  </si>
  <si>
    <t>Coussarea</t>
  </si>
  <si>
    <t>guargu</t>
  </si>
  <si>
    <t>Guarea guidonia</t>
  </si>
  <si>
    <t>Guarea</t>
  </si>
  <si>
    <t>soroaf</t>
  </si>
  <si>
    <t>Sorocea affinis</t>
  </si>
  <si>
    <t>Moraceae</t>
  </si>
  <si>
    <t>Sorocea</t>
  </si>
  <si>
    <t>cappfr</t>
  </si>
  <si>
    <t>Morisonia frondosa</t>
  </si>
  <si>
    <t>Capparaceae</t>
  </si>
  <si>
    <t>Morisonia</t>
  </si>
  <si>
    <t>oenoma</t>
  </si>
  <si>
    <t>Oenocarpus mapora</t>
  </si>
  <si>
    <t>Arecaceae</t>
  </si>
  <si>
    <t>Oenocarpus</t>
  </si>
  <si>
    <t>tab2ar</t>
  </si>
  <si>
    <t>Tabernaemontana arborea</t>
  </si>
  <si>
    <t>Apocynaceae</t>
  </si>
  <si>
    <t>Tabernaemontana</t>
  </si>
  <si>
    <t>beilpe</t>
  </si>
  <si>
    <t>Beilschmiedia tovarensis</t>
  </si>
  <si>
    <t>Lauraceae</t>
  </si>
  <si>
    <t>Beilschmiedia</t>
  </si>
  <si>
    <t>tachve</t>
  </si>
  <si>
    <t>Tachigali panamensis</t>
  </si>
  <si>
    <t>Tachigali</t>
  </si>
  <si>
    <t>ingas1</t>
  </si>
  <si>
    <t>Inga acuminata</t>
  </si>
  <si>
    <t>Inga</t>
  </si>
  <si>
    <t>paligu</t>
  </si>
  <si>
    <t>Palicourea guianensis</t>
  </si>
  <si>
    <t>Palicourea</t>
  </si>
  <si>
    <t>laciag</t>
  </si>
  <si>
    <t>Lacistema aggregatum</t>
  </si>
  <si>
    <t>Lacistemataceae</t>
  </si>
  <si>
    <t>Lacistema</t>
  </si>
  <si>
    <t>cupasy</t>
  </si>
  <si>
    <t>Cupania seemannii</t>
  </si>
  <si>
    <t>Sapindaceae</t>
  </si>
  <si>
    <t>Cupania</t>
  </si>
  <si>
    <t>ingama</t>
  </si>
  <si>
    <t>Inga marginata</t>
  </si>
  <si>
    <t>acaldi</t>
  </si>
  <si>
    <t>Acalypha diversifolia</t>
  </si>
  <si>
    <t>Euphorbiaceae</t>
  </si>
  <si>
    <t>Acalypha</t>
  </si>
  <si>
    <t>pri2co</t>
  </si>
  <si>
    <t>Prioria copaifera</t>
  </si>
  <si>
    <t>Prioria</t>
  </si>
  <si>
    <t>ouralu</t>
  </si>
  <si>
    <t>Ouratea lucens</t>
  </si>
  <si>
    <t>Ochnaceae</t>
  </si>
  <si>
    <t>Ouratea</t>
  </si>
  <si>
    <t>picrla</t>
  </si>
  <si>
    <t>Picramnia latifolia</t>
  </si>
  <si>
    <t>Picramniaceae</t>
  </si>
  <si>
    <t>Picramnia</t>
  </si>
  <si>
    <t>cassel</t>
  </si>
  <si>
    <t>Cassipourea elliptica</t>
  </si>
  <si>
    <t>Rhizophoraceae</t>
  </si>
  <si>
    <t>Cassipourea</t>
  </si>
  <si>
    <t>cordla</t>
  </si>
  <si>
    <t>Cordia lasiocalyx</t>
  </si>
  <si>
    <t>Cordiaceae</t>
  </si>
  <si>
    <t>Cordia</t>
  </si>
  <si>
    <t>anaxpa</t>
  </si>
  <si>
    <t>Anaxagorea panamensis</t>
  </si>
  <si>
    <t>Anaxagorea</t>
  </si>
  <si>
    <t>guatdu</t>
  </si>
  <si>
    <t>Guatteria lucens</t>
  </si>
  <si>
    <t>Guatteria</t>
  </si>
  <si>
    <t>maquco</t>
  </si>
  <si>
    <t>Maquira guianensis</t>
  </si>
  <si>
    <t>Maquira</t>
  </si>
  <si>
    <t>psycma</t>
  </si>
  <si>
    <t>Psychotria marginata</t>
  </si>
  <si>
    <t>Psychotria</t>
  </si>
  <si>
    <t>psycho</t>
  </si>
  <si>
    <t>Psychotria horizontalis</t>
  </si>
  <si>
    <t>cecrin</t>
  </si>
  <si>
    <t>Cecropia insignis</t>
  </si>
  <si>
    <t>Urticaceae</t>
  </si>
  <si>
    <t>Cecropia</t>
  </si>
  <si>
    <t>poutre</t>
  </si>
  <si>
    <t>Pouteria reticulata</t>
  </si>
  <si>
    <t>Sapotaceae</t>
  </si>
  <si>
    <t>Pouteria</t>
  </si>
  <si>
    <t>virose</t>
  </si>
  <si>
    <t>Virola sebifera</t>
  </si>
  <si>
    <t>Myristicaceae</t>
  </si>
  <si>
    <t>Virola</t>
  </si>
  <si>
    <t>randar</t>
  </si>
  <si>
    <t>Randia armata</t>
  </si>
  <si>
    <t>Randia</t>
  </si>
  <si>
    <t>pterro</t>
  </si>
  <si>
    <t>Pterocarpus rohrii</t>
  </si>
  <si>
    <t>Pterocarpus</t>
  </si>
  <si>
    <t>heisco</t>
  </si>
  <si>
    <t>Heisteria concinna</t>
  </si>
  <si>
    <t>Olacaceae</t>
  </si>
  <si>
    <t>Heisteria</t>
  </si>
  <si>
    <t>brosal</t>
  </si>
  <si>
    <t>Brosimum alicastrum</t>
  </si>
  <si>
    <t>Brosimum</t>
  </si>
  <si>
    <t>ingaum</t>
  </si>
  <si>
    <t>Inga umbellifera</t>
  </si>
  <si>
    <t>cordbi</t>
  </si>
  <si>
    <t>Cordia bicolor</t>
  </si>
  <si>
    <t>talipr</t>
  </si>
  <si>
    <t>Talisia croatii</t>
  </si>
  <si>
    <t>Talisia</t>
  </si>
  <si>
    <t>chr2ar</t>
  </si>
  <si>
    <t>Chrysophyllum argenteum</t>
  </si>
  <si>
    <t>Chrysophyllum</t>
  </si>
  <si>
    <t>stylst</t>
  </si>
  <si>
    <t>Stylogyne turbacensis</t>
  </si>
  <si>
    <t>Primulaceae</t>
  </si>
  <si>
    <t>Stylogyne</t>
  </si>
  <si>
    <t>sipapa</t>
  </si>
  <si>
    <t>Siparuna pauciflora</t>
  </si>
  <si>
    <t>Siparunaceae</t>
  </si>
  <si>
    <t>Siparuna</t>
  </si>
  <si>
    <t>protco</t>
  </si>
  <si>
    <t>Protium costaricense</t>
  </si>
  <si>
    <t>taline</t>
  </si>
  <si>
    <t>Talisia nervosa</t>
  </si>
  <si>
    <t>gustsu</t>
  </si>
  <si>
    <t>Gustavia superba</t>
  </si>
  <si>
    <t>Lecythidaceae</t>
  </si>
  <si>
    <t>Gustavia</t>
  </si>
  <si>
    <t>poular</t>
  </si>
  <si>
    <t>Poulsenia armata</t>
  </si>
  <si>
    <t>Poulsenia</t>
  </si>
  <si>
    <t>crotbi</t>
  </si>
  <si>
    <t>Croton billbergianus</t>
  </si>
  <si>
    <t>Croton</t>
  </si>
  <si>
    <t>unonpi</t>
  </si>
  <si>
    <t>Unonopsis pittieri</t>
  </si>
  <si>
    <t>Unonopsis</t>
  </si>
  <si>
    <t>loncla</t>
  </si>
  <si>
    <t>Lonchocarpus heptaphyllus</t>
  </si>
  <si>
    <t>Lonchocarpus</t>
  </si>
  <si>
    <t>micoar</t>
  </si>
  <si>
    <t>Miconia argentea</t>
  </si>
  <si>
    <t>Miconia</t>
  </si>
  <si>
    <t>eugeco</t>
  </si>
  <si>
    <t>Eugenia florida</t>
  </si>
  <si>
    <t>cha2sc</t>
  </si>
  <si>
    <t>Chamguava schippii</t>
  </si>
  <si>
    <t>Chamguava</t>
  </si>
  <si>
    <t>guarsp</t>
  </si>
  <si>
    <t>Guarea bullata</t>
  </si>
  <si>
    <t>malmsp</t>
  </si>
  <si>
    <t>Mosannona garwoodii</t>
  </si>
  <si>
    <t>Mosannona</t>
  </si>
  <si>
    <t>aspicr</t>
  </si>
  <si>
    <t>Aspidosperma desmanthum</t>
  </si>
  <si>
    <t>Aspidosperma</t>
  </si>
  <si>
    <t>eugene</t>
  </si>
  <si>
    <t>Eugenia nesiotica</t>
  </si>
  <si>
    <t>herrpu</t>
  </si>
  <si>
    <t>Herrania purpurea</t>
  </si>
  <si>
    <t>Herrania</t>
  </si>
  <si>
    <t>caseac</t>
  </si>
  <si>
    <t>Casearia aculeata</t>
  </si>
  <si>
    <t>Salicaceae</t>
  </si>
  <si>
    <t>Casearia</t>
  </si>
  <si>
    <t>ingaqu</t>
  </si>
  <si>
    <t>Inga nobilis</t>
  </si>
  <si>
    <t>alibed</t>
  </si>
  <si>
    <t>Alibertia edulis</t>
  </si>
  <si>
    <t>Alibertia</t>
  </si>
  <si>
    <t>socrex</t>
  </si>
  <si>
    <t>Socratea exorrhiza</t>
  </si>
  <si>
    <t>Socratea</t>
  </si>
  <si>
    <t>annoac</t>
  </si>
  <si>
    <t>Annona acuminata</t>
  </si>
  <si>
    <t>Annona</t>
  </si>
  <si>
    <t>tri2pa</t>
  </si>
  <si>
    <t>Trichilia pallida</t>
  </si>
  <si>
    <t>micoaf</t>
  </si>
  <si>
    <t>Miconia affinis</t>
  </si>
  <si>
    <t>laetth</t>
  </si>
  <si>
    <t>Casearia thamnia</t>
  </si>
  <si>
    <t>ocotce</t>
  </si>
  <si>
    <t>Ocotea leptobotra</t>
  </si>
  <si>
    <t>Ocotea</t>
  </si>
  <si>
    <t>chr1ec</t>
  </si>
  <si>
    <t>Chrysochlamys eclipes</t>
  </si>
  <si>
    <t>Chrysochlamys</t>
  </si>
  <si>
    <t>gar2ma</t>
  </si>
  <si>
    <t>Garcinia madruno</t>
  </si>
  <si>
    <t>sloate</t>
  </si>
  <si>
    <t>Sloanea terniflora</t>
  </si>
  <si>
    <t>Elaeocarpaceae</t>
  </si>
  <si>
    <t>Sloanea</t>
  </si>
  <si>
    <t>ery2ma</t>
  </si>
  <si>
    <t>Erythroxylum macrophyllum</t>
  </si>
  <si>
    <t>Erythroxylaceae</t>
  </si>
  <si>
    <t>Erythroxylum</t>
  </si>
  <si>
    <t>ingath</t>
  </si>
  <si>
    <t>Inga thibaudiana</t>
  </si>
  <si>
    <t>micone</t>
  </si>
  <si>
    <t>Miconia nervosa</t>
  </si>
  <si>
    <t>sennda</t>
  </si>
  <si>
    <t>Senna dariensis</t>
  </si>
  <si>
    <t>Senna</t>
  </si>
  <si>
    <t>hassfl</t>
  </si>
  <si>
    <t>Hasseltia floribunda</t>
  </si>
  <si>
    <t>Hasseltia</t>
  </si>
  <si>
    <t>pentma</t>
  </si>
  <si>
    <t>Pentagonia macrophylla</t>
  </si>
  <si>
    <t>Pentagonia</t>
  </si>
  <si>
    <t>coccma</t>
  </si>
  <si>
    <t>Coccoloba manzinellensis</t>
  </si>
  <si>
    <t>Polygonaceae</t>
  </si>
  <si>
    <t>Coccoloba</t>
  </si>
  <si>
    <t>ingago</t>
  </si>
  <si>
    <t>Inga goldmanii</t>
  </si>
  <si>
    <t>ocotwh</t>
  </si>
  <si>
    <t>Ocotea whitei</t>
  </si>
  <si>
    <t>ocotob</t>
  </si>
  <si>
    <t>Ocotea oblonga</t>
  </si>
  <si>
    <t>jac1co</t>
  </si>
  <si>
    <t>Jacaranda copaia</t>
  </si>
  <si>
    <t>Bignoniaceae</t>
  </si>
  <si>
    <t>Jacaranda</t>
  </si>
  <si>
    <t>bactc1</t>
  </si>
  <si>
    <t>Bactris coloniata</t>
  </si>
  <si>
    <t>Bactris</t>
  </si>
  <si>
    <t>tab1ro</t>
  </si>
  <si>
    <t>Tabebuia rosea</t>
  </si>
  <si>
    <t>Tabebuia</t>
  </si>
  <si>
    <t>sponra</t>
  </si>
  <si>
    <t>Spondias radlkoferi</t>
  </si>
  <si>
    <t>Anacardiaceae</t>
  </si>
  <si>
    <t>Spondias</t>
  </si>
  <si>
    <t>andiin</t>
  </si>
  <si>
    <t>Andira inermis</t>
  </si>
  <si>
    <t>Andira</t>
  </si>
  <si>
    <t>alchco</t>
  </si>
  <si>
    <t>Alchornea costaricensis</t>
  </si>
  <si>
    <t>Alchornea</t>
  </si>
  <si>
    <t>licapl</t>
  </si>
  <si>
    <t>Moquilea platypus</t>
  </si>
  <si>
    <t>Moquilea</t>
  </si>
  <si>
    <t>pourbi</t>
  </si>
  <si>
    <t>Pourouma bicolor</t>
  </si>
  <si>
    <t>Pourouma</t>
  </si>
  <si>
    <t>apeime</t>
  </si>
  <si>
    <t>Apeiba membranacea</t>
  </si>
  <si>
    <t>Apeiba</t>
  </si>
  <si>
    <t>tripcu</t>
  </si>
  <si>
    <t>Triplaris cumingiana</t>
  </si>
  <si>
    <t>Triplaris</t>
  </si>
  <si>
    <t>cordal</t>
  </si>
  <si>
    <t>Cordia alliodora</t>
  </si>
  <si>
    <t>nectgl</t>
  </si>
  <si>
    <t>Nectandra lineata</t>
  </si>
  <si>
    <t>Nectandra</t>
  </si>
  <si>
    <t>ingasa</t>
  </si>
  <si>
    <t>Inga sapindoides</t>
  </si>
  <si>
    <t>chr2ca</t>
  </si>
  <si>
    <t>Chrysophyllum cainito</t>
  </si>
  <si>
    <t>perexa</t>
  </si>
  <si>
    <t>Perebea xanthochyma</t>
  </si>
  <si>
    <t>Perebea</t>
  </si>
  <si>
    <t>guetfo</t>
  </si>
  <si>
    <t>Guettarda foliacea</t>
  </si>
  <si>
    <t>Guettarda</t>
  </si>
  <si>
    <t>sponmo</t>
  </si>
  <si>
    <t>Spondias mombin</t>
  </si>
  <si>
    <t>tropra</t>
  </si>
  <si>
    <t>Trophis racemosa</t>
  </si>
  <si>
    <t>Trophis</t>
  </si>
  <si>
    <t>luehse</t>
  </si>
  <si>
    <t>Luehea seemannii</t>
  </si>
  <si>
    <t>Luehea</t>
  </si>
  <si>
    <t>zantbe</t>
  </si>
  <si>
    <t>Zanthoxylum ekmanii</t>
  </si>
  <si>
    <t>Rutaceae</t>
  </si>
  <si>
    <t>Zanthoxylum</t>
  </si>
  <si>
    <t>cecrob</t>
  </si>
  <si>
    <t>Cecropia obtusifolia</t>
  </si>
  <si>
    <t>nectci</t>
  </si>
  <si>
    <t>Nectandra cissiflora</t>
  </si>
  <si>
    <t>pla1pi</t>
  </si>
  <si>
    <t>Platymiscium pinnatum</t>
  </si>
  <si>
    <t>Platymiscium</t>
  </si>
  <si>
    <t>licahy</t>
  </si>
  <si>
    <t>Licania hypoleuca</t>
  </si>
  <si>
    <t>Licania</t>
  </si>
  <si>
    <t>ast2gr</t>
  </si>
  <si>
    <t>Astronium graveolens</t>
  </si>
  <si>
    <t>Astronium</t>
  </si>
  <si>
    <t>guapst</t>
  </si>
  <si>
    <t>Guapira myrtiflora</t>
  </si>
  <si>
    <t>Nyctaginaceae</t>
  </si>
  <si>
    <t>Guapira</t>
  </si>
  <si>
    <t>ocotpu</t>
  </si>
  <si>
    <t>Ocotea puberula</t>
  </si>
  <si>
    <t>ardife</t>
  </si>
  <si>
    <t>Ardisia copeyana</t>
  </si>
  <si>
    <t>Ardisia</t>
  </si>
  <si>
    <t>ingape</t>
  </si>
  <si>
    <t>Inga pezizifera</t>
  </si>
  <si>
    <t>dio2ar</t>
  </si>
  <si>
    <t>Diospyros artanthifolia</t>
  </si>
  <si>
    <t>Ebenaceae</t>
  </si>
  <si>
    <t>Diospyros</t>
  </si>
  <si>
    <t>sympgl</t>
  </si>
  <si>
    <t>Symphonia globulifera</t>
  </si>
  <si>
    <t>Symphonia</t>
  </si>
  <si>
    <t>virosu</t>
  </si>
  <si>
    <t>Virola surinamensis</t>
  </si>
  <si>
    <t>zantp1</t>
  </si>
  <si>
    <t>Zanthoxylum panamense</t>
  </si>
  <si>
    <t>solaha</t>
  </si>
  <si>
    <t>Solanum hayesii</t>
  </si>
  <si>
    <t>Solanaceae</t>
  </si>
  <si>
    <t>Solanum</t>
  </si>
  <si>
    <t>casesy</t>
  </si>
  <si>
    <t>Casearia sylvestris</t>
  </si>
  <si>
    <t>cuparu</t>
  </si>
  <si>
    <t>Cupania rufescens</t>
  </si>
  <si>
    <t>ormocr</t>
  </si>
  <si>
    <t>Ormosia coccinea</t>
  </si>
  <si>
    <t>Ormosia</t>
  </si>
  <si>
    <t>pipere</t>
  </si>
  <si>
    <t>Piper reticulatum</t>
  </si>
  <si>
    <t>Piperaceae</t>
  </si>
  <si>
    <t>Piper</t>
  </si>
  <si>
    <t>ast1st</t>
  </si>
  <si>
    <t>Astrocaryum standleyanum</t>
  </si>
  <si>
    <t>Astrocaryum</t>
  </si>
  <si>
    <t>ormoma</t>
  </si>
  <si>
    <t>Ormosia macrocalyx</t>
  </si>
  <si>
    <t>ery2pa</t>
  </si>
  <si>
    <t>Erythroxylum panamense</t>
  </si>
  <si>
    <t>lacmpa</t>
  </si>
  <si>
    <t>Lacmellea panamensis</t>
  </si>
  <si>
    <t>Lacmellea</t>
  </si>
  <si>
    <t>coccco</t>
  </si>
  <si>
    <t>Coccoloba coronata</t>
  </si>
  <si>
    <t>olmeas</t>
  </si>
  <si>
    <t>Trophis caucana</t>
  </si>
  <si>
    <t>quasam</t>
  </si>
  <si>
    <t>Quassia amara</t>
  </si>
  <si>
    <t>Quassia</t>
  </si>
  <si>
    <t>guargr</t>
  </si>
  <si>
    <t>Guarea grandifolia</t>
  </si>
  <si>
    <t>hameax</t>
  </si>
  <si>
    <t>Hamelia axillaris</t>
  </si>
  <si>
    <t>Hamelia</t>
  </si>
  <si>
    <t>celtsc</t>
  </si>
  <si>
    <t>Celtis schippii</t>
  </si>
  <si>
    <t>Cannabaceae</t>
  </si>
  <si>
    <t>Celtis</t>
  </si>
  <si>
    <t>hyeral</t>
  </si>
  <si>
    <t>Hieronyma alchorneoides</t>
  </si>
  <si>
    <t>Phyllanthaceae</t>
  </si>
  <si>
    <t>Hieronyma</t>
  </si>
  <si>
    <t>ade1tr</t>
  </si>
  <si>
    <t>Adelia triloba</t>
  </si>
  <si>
    <t>Adelia</t>
  </si>
  <si>
    <t>heisac</t>
  </si>
  <si>
    <t>Heisteria acuminata</t>
  </si>
  <si>
    <t>huracr</t>
  </si>
  <si>
    <t>Hura crepitans</t>
  </si>
  <si>
    <t>Hura</t>
  </si>
  <si>
    <t>allops</t>
  </si>
  <si>
    <t>Allophylus psilospermus</t>
  </si>
  <si>
    <t>Allophylus</t>
  </si>
  <si>
    <t>macrgl</t>
  </si>
  <si>
    <t>Macrocnemum roseum</t>
  </si>
  <si>
    <t>Macrocnemum</t>
  </si>
  <si>
    <t>termob</t>
  </si>
  <si>
    <t>Terminalia oblonga</t>
  </si>
  <si>
    <t>Combretaceae</t>
  </si>
  <si>
    <t>Terminalia</t>
  </si>
  <si>
    <t>nectpu</t>
  </si>
  <si>
    <t>Damburneya purpurea</t>
  </si>
  <si>
    <t>Damburneya</t>
  </si>
  <si>
    <t>bactma</t>
  </si>
  <si>
    <t>Bactris major</t>
  </si>
  <si>
    <t>pla2el</t>
  </si>
  <si>
    <t>Platypodium elegans</t>
  </si>
  <si>
    <t>Platypodium</t>
  </si>
  <si>
    <t>cestme</t>
  </si>
  <si>
    <t>Cestrum schlechtendalii</t>
  </si>
  <si>
    <t>Cestrum</t>
  </si>
  <si>
    <t>annosp</t>
  </si>
  <si>
    <t>Annona spraguei</t>
  </si>
  <si>
    <t>acalma</t>
  </si>
  <si>
    <t>Acalypha macrostachya</t>
  </si>
  <si>
    <t>casear</t>
  </si>
  <si>
    <t>Casearia arborea</t>
  </si>
  <si>
    <t>myrcga</t>
  </si>
  <si>
    <t>Myrcia splendens</t>
  </si>
  <si>
    <t>Myrcia</t>
  </si>
  <si>
    <t>micoho</t>
  </si>
  <si>
    <t>Miconia hondurensis</t>
  </si>
  <si>
    <t>cupala</t>
  </si>
  <si>
    <t>Cupania latifolia</t>
  </si>
  <si>
    <t>pipeco</t>
  </si>
  <si>
    <t>Piper trinervium</t>
  </si>
  <si>
    <t>thevah</t>
  </si>
  <si>
    <t>Thevetia ahouai</t>
  </si>
  <si>
    <t>Thevetia</t>
  </si>
  <si>
    <t>diptpa</t>
  </si>
  <si>
    <t>Dipteryx oleifera</t>
  </si>
  <si>
    <t>Dipteryx</t>
  </si>
  <si>
    <t>guazul</t>
  </si>
  <si>
    <t>Guazuma ulmifolia</t>
  </si>
  <si>
    <t>Guazuma</t>
  </si>
  <si>
    <t>maytsc</t>
  </si>
  <si>
    <t>Maytenus schippii</t>
  </si>
  <si>
    <t>Celastraceae</t>
  </si>
  <si>
    <t>Maytenus</t>
  </si>
  <si>
    <t>posola</t>
  </si>
  <si>
    <t>Posoqueria latifolia</t>
  </si>
  <si>
    <t>Posoqueria</t>
  </si>
  <si>
    <t>tab1gu</t>
  </si>
  <si>
    <t>Handroanthus guayacan</t>
  </si>
  <si>
    <t>Handroanthus</t>
  </si>
  <si>
    <t>pit1ma</t>
  </si>
  <si>
    <t>Jupunba macradenia</t>
  </si>
  <si>
    <t>Jupunba</t>
  </si>
  <si>
    <t>psycde</t>
  </si>
  <si>
    <t>Palicourea deflexa</t>
  </si>
  <si>
    <t>ingaco</t>
  </si>
  <si>
    <t>Inga cocleensis</t>
  </si>
  <si>
    <t>sterap</t>
  </si>
  <si>
    <t>Sterculia apetala</t>
  </si>
  <si>
    <t>Sterculia</t>
  </si>
  <si>
    <t>geniam</t>
  </si>
  <si>
    <t>Genipa americana</t>
  </si>
  <si>
    <t>Genipa</t>
  </si>
  <si>
    <t>termam</t>
  </si>
  <si>
    <t>Terminalia amazonia</t>
  </si>
  <si>
    <t>tratas</t>
  </si>
  <si>
    <t>Trattinnickia aspera</t>
  </si>
  <si>
    <t>Trattinnickia</t>
  </si>
  <si>
    <t>ceibpe</t>
  </si>
  <si>
    <t>Ceiba pentandra</t>
  </si>
  <si>
    <t>Ceiba</t>
  </si>
  <si>
    <t>phoeci</t>
  </si>
  <si>
    <t>Aiouea montana</t>
  </si>
  <si>
    <t>Aiouea</t>
  </si>
  <si>
    <t>hampap</t>
  </si>
  <si>
    <t>Hampea appendiculata</t>
  </si>
  <si>
    <t>Hampea</t>
  </si>
  <si>
    <t>ingafa</t>
  </si>
  <si>
    <t>Inga laurina</t>
  </si>
  <si>
    <t>poutst</t>
  </si>
  <si>
    <t>Pouteria stipitata</t>
  </si>
  <si>
    <t>dendar</t>
  </si>
  <si>
    <t>Dendropanax arboreus</t>
  </si>
  <si>
    <t>Araliaceae</t>
  </si>
  <si>
    <t>Dendropanax</t>
  </si>
  <si>
    <t>psidfr</t>
  </si>
  <si>
    <t>Psidium friedrichsthalianum</t>
  </si>
  <si>
    <t>Psidium</t>
  </si>
  <si>
    <t>neeaam</t>
  </si>
  <si>
    <t>Neea amplifolia</t>
  </si>
  <si>
    <t>Neea</t>
  </si>
  <si>
    <t>ingapu</t>
  </si>
  <si>
    <t>Inga punctata</t>
  </si>
  <si>
    <t>zantpr</t>
  </si>
  <si>
    <t>Zanthoxylum acuminatum</t>
  </si>
  <si>
    <t>ery1co</t>
  </si>
  <si>
    <t>Erythrina costaricensis</t>
  </si>
  <si>
    <t>Erythrina</t>
  </si>
  <si>
    <t>acacme</t>
  </si>
  <si>
    <t>Vachellia melanoceras</t>
  </si>
  <si>
    <t>Vachellia</t>
  </si>
  <si>
    <t>conoci</t>
  </si>
  <si>
    <t>Miconia cinnamomea</t>
  </si>
  <si>
    <t>malpro</t>
  </si>
  <si>
    <t>Malpighia romeroana</t>
  </si>
  <si>
    <t>Malpighiaceae</t>
  </si>
  <si>
    <t>Malpighia</t>
  </si>
  <si>
    <t>psycac</t>
  </si>
  <si>
    <t>Palicourea acuminata</t>
  </si>
  <si>
    <t>clidde</t>
  </si>
  <si>
    <t>Miconia dentata</t>
  </si>
  <si>
    <t>vismba</t>
  </si>
  <si>
    <t>Vismia baccifera</t>
  </si>
  <si>
    <t>Hypericaceae</t>
  </si>
  <si>
    <t>Vismia</t>
  </si>
  <si>
    <t>turpoc</t>
  </si>
  <si>
    <t>Turpinia occidentalis</t>
  </si>
  <si>
    <t>Staphyleaceae</t>
  </si>
  <si>
    <t>Turpinia</t>
  </si>
  <si>
    <t>psycg3</t>
  </si>
  <si>
    <t>Psychotria grandis</t>
  </si>
  <si>
    <t>laetpr</t>
  </si>
  <si>
    <t>Casearia bicolor</t>
  </si>
  <si>
    <t>lindla</t>
  </si>
  <si>
    <t>Lindackeria laurina</t>
  </si>
  <si>
    <t>Achariaceae</t>
  </si>
  <si>
    <t>Lindackeria</t>
  </si>
  <si>
    <t>cavapl</t>
  </si>
  <si>
    <t>Cavanillesia platanifolia</t>
  </si>
  <si>
    <t>Cavanillesia</t>
  </si>
  <si>
    <t>apeiti</t>
  </si>
  <si>
    <t>Apeiba tibourbou</t>
  </si>
  <si>
    <t>pipeae</t>
  </si>
  <si>
    <t>Piper aequale</t>
  </si>
  <si>
    <t>sch1zo</t>
  </si>
  <si>
    <t>Attalea butyracea</t>
  </si>
  <si>
    <t>Attalea</t>
  </si>
  <si>
    <t>virosp</t>
  </si>
  <si>
    <t>Virola fosteri</t>
  </si>
  <si>
    <t>pse1se</t>
  </si>
  <si>
    <t>Pseudobombax septenatum</t>
  </si>
  <si>
    <t>Pseudobombax</t>
  </si>
  <si>
    <t>psycg1</t>
  </si>
  <si>
    <t>Psychotria biaristata</t>
  </si>
  <si>
    <t>protsp</t>
  </si>
  <si>
    <t>Protium confusum</t>
  </si>
  <si>
    <t>psycch</t>
  </si>
  <si>
    <t>Psychotria chagrensis</t>
  </si>
  <si>
    <t>vochfe</t>
  </si>
  <si>
    <t>Vochysia ferruginea</t>
  </si>
  <si>
    <t>Vochysiaceae</t>
  </si>
  <si>
    <t>Vochysia</t>
  </si>
  <si>
    <t>sipacr</t>
  </si>
  <si>
    <t>Siparuna cristata</t>
  </si>
  <si>
    <t>tremin</t>
  </si>
  <si>
    <t>Trema domingense</t>
  </si>
  <si>
    <t>Trema</t>
  </si>
  <si>
    <t>sapiau</t>
  </si>
  <si>
    <t>Sapium glandulosum</t>
  </si>
  <si>
    <t>Sapium</t>
  </si>
  <si>
    <t>zuelgu</t>
  </si>
  <si>
    <t>Casearia laetioides</t>
  </si>
  <si>
    <t>aegipa</t>
  </si>
  <si>
    <t>Aegiphila panamensis</t>
  </si>
  <si>
    <t>Lamiaceae</t>
  </si>
  <si>
    <t>Aegiphila</t>
  </si>
  <si>
    <t>elaeol</t>
  </si>
  <si>
    <t>Elaeis oleifera</t>
  </si>
  <si>
    <t>Elaeis</t>
  </si>
  <si>
    <t>anacex</t>
  </si>
  <si>
    <t>Anacardium excelsum</t>
  </si>
  <si>
    <t>Anacardium</t>
  </si>
  <si>
    <t>caseco</t>
  </si>
  <si>
    <t>Piparea dentata</t>
  </si>
  <si>
    <t>Piparea</t>
  </si>
  <si>
    <t>cupaci</t>
  </si>
  <si>
    <t>Cupania cinerea</t>
  </si>
  <si>
    <t>mar1la</t>
  </si>
  <si>
    <t>Marila laxiflora</t>
  </si>
  <si>
    <t>Marila</t>
  </si>
  <si>
    <t>pipea1</t>
  </si>
  <si>
    <t>Piper arboreum</t>
  </si>
  <si>
    <t>xyl2ol</t>
  </si>
  <si>
    <t>Xylosma oligandra</t>
  </si>
  <si>
    <t>Xylosma</t>
  </si>
  <si>
    <t>ardigu</t>
  </si>
  <si>
    <t>Ardisia guianensis</t>
  </si>
  <si>
    <t>pochse</t>
  </si>
  <si>
    <t>Pachira sessilis</t>
  </si>
  <si>
    <t>Pachira</t>
  </si>
  <si>
    <t>psycli</t>
  </si>
  <si>
    <t>Psychotria limonensis</t>
  </si>
  <si>
    <t>ingasp</t>
  </si>
  <si>
    <t>Inga spectabilis</t>
  </si>
  <si>
    <t>psycra</t>
  </si>
  <si>
    <t>Palicourea racemosa</t>
  </si>
  <si>
    <t>vismbi</t>
  </si>
  <si>
    <t>Vismia billbergiana</t>
  </si>
  <si>
    <t>amaico</t>
  </si>
  <si>
    <t>Amaioua glomerulata</t>
  </si>
  <si>
    <t>Amaioua</t>
  </si>
  <si>
    <t>bactba</t>
  </si>
  <si>
    <t>Bactris barronis</t>
  </si>
  <si>
    <t>entesc</t>
  </si>
  <si>
    <t>Robrichia schomburgkii</t>
  </si>
  <si>
    <t>Robrichia</t>
  </si>
  <si>
    <t>hirtam</t>
  </si>
  <si>
    <t>Hirtella americana</t>
  </si>
  <si>
    <t>theoca</t>
  </si>
  <si>
    <t>Theobroma cacao</t>
  </si>
  <si>
    <t>Theobroma</t>
  </si>
  <si>
    <t>casegu</t>
  </si>
  <si>
    <t>Casearia guianensis</t>
  </si>
  <si>
    <t>cyphha</t>
  </si>
  <si>
    <t>Solanum splendens</t>
  </si>
  <si>
    <t>ficuto</t>
  </si>
  <si>
    <t>Ficus tonduzii</t>
  </si>
  <si>
    <t>Ficus</t>
  </si>
  <si>
    <t>aphesi</t>
  </si>
  <si>
    <t>Aphelandra sinclairiana</t>
  </si>
  <si>
    <t>Acanthaceae</t>
  </si>
  <si>
    <t>Aphelandra</t>
  </si>
  <si>
    <t>cedrod</t>
  </si>
  <si>
    <t>Cedrela odorata</t>
  </si>
  <si>
    <t>Cedrela</t>
  </si>
  <si>
    <t>pipepe</t>
  </si>
  <si>
    <t>Piper perlasense</t>
  </si>
  <si>
    <t>micoel</t>
  </si>
  <si>
    <t>Miconia elata</t>
  </si>
  <si>
    <t>myrofr</t>
  </si>
  <si>
    <t>Myrospermum frutescens</t>
  </si>
  <si>
    <t>Myrospermum</t>
  </si>
  <si>
    <t>bactc2</t>
  </si>
  <si>
    <t>Bactris coloradonis</t>
  </si>
  <si>
    <t>ficuin</t>
  </si>
  <si>
    <t>Ficus insipida</t>
  </si>
  <si>
    <t>ficuob</t>
  </si>
  <si>
    <t>Ficus obtusifolia</t>
  </si>
  <si>
    <t>micoim</t>
  </si>
  <si>
    <t>Miconia impetiolaris</t>
  </si>
  <si>
    <t>ochrpy</t>
  </si>
  <si>
    <t>Ochroma pyramidale</t>
  </si>
  <si>
    <t>Ochroma</t>
  </si>
  <si>
    <t>ficuc2</t>
  </si>
  <si>
    <t>Ficus costaricana</t>
  </si>
  <si>
    <t>ficutr</t>
  </si>
  <si>
    <t>Ficus trigonata</t>
  </si>
  <si>
    <t>pipecu</t>
  </si>
  <si>
    <t>Piper colonense</t>
  </si>
  <si>
    <t>schipa</t>
  </si>
  <si>
    <t>Schizolobium parahyba</t>
  </si>
  <si>
    <t>Schizolobium</t>
  </si>
  <si>
    <t>tocopi</t>
  </si>
  <si>
    <t>Tocoyena pittieri</t>
  </si>
  <si>
    <t>Tocoyena</t>
  </si>
  <si>
    <t>conobr</t>
  </si>
  <si>
    <t>Miconia conobracteata</t>
  </si>
  <si>
    <t>poutfo</t>
  </si>
  <si>
    <t>Pouteria fossicola</t>
  </si>
  <si>
    <t>spacme</t>
  </si>
  <si>
    <t>Spachea membranacea</t>
  </si>
  <si>
    <t>Spachea</t>
  </si>
  <si>
    <t>cha1te</t>
  </si>
  <si>
    <t>Chamaedorea tepejilote</t>
  </si>
  <si>
    <t>Chamaedorea</t>
  </si>
  <si>
    <t>ficupo</t>
  </si>
  <si>
    <t>Ficus popenoei</t>
  </si>
  <si>
    <t>ficuyo</t>
  </si>
  <si>
    <t>Ficus yoponensis</t>
  </si>
  <si>
    <t>ingaru</t>
  </si>
  <si>
    <t>Inga ruiziana</t>
  </si>
  <si>
    <t>solaas</t>
  </si>
  <si>
    <t>Solanum asperum</t>
  </si>
  <si>
    <t>brosgu</t>
  </si>
  <si>
    <t>Brosimum guianense</t>
  </si>
  <si>
    <t>ficuci</t>
  </si>
  <si>
    <t>Ficus citrifolia</t>
  </si>
  <si>
    <t>ficuma</t>
  </si>
  <si>
    <t>Ficus maxima</t>
  </si>
  <si>
    <t>pipeca</t>
  </si>
  <si>
    <t>Piper carrilloanum</t>
  </si>
  <si>
    <t>psycfu</t>
  </si>
  <si>
    <t>Palicourea hoffmannseggiana</t>
  </si>
  <si>
    <t>ardiba</t>
  </si>
  <si>
    <t>Ardisia bartletii</t>
  </si>
  <si>
    <t>chimpa</t>
  </si>
  <si>
    <t>Chimarrhis parviflora</t>
  </si>
  <si>
    <t>Chimarrhis</t>
  </si>
  <si>
    <t>clidoc</t>
  </si>
  <si>
    <t>Miconia octona</t>
  </si>
  <si>
    <t>couthe</t>
  </si>
  <si>
    <t>Coutarea hexandra</t>
  </si>
  <si>
    <t>Coutarea</t>
  </si>
  <si>
    <t>ingami</t>
  </si>
  <si>
    <t>Inga oerstediana</t>
  </si>
  <si>
    <t>lafopu</t>
  </si>
  <si>
    <t>Lafoensia punicifolia</t>
  </si>
  <si>
    <t>Lythraceae</t>
  </si>
  <si>
    <t>Lafoensia</t>
  </si>
  <si>
    <t>margno</t>
  </si>
  <si>
    <t>Margaritaria nobilis</t>
  </si>
  <si>
    <t>Margaritaria</t>
  </si>
  <si>
    <t>sapisp</t>
  </si>
  <si>
    <t>Sapium sp.</t>
  </si>
  <si>
    <t>solaar</t>
  </si>
  <si>
    <t>Solanum arboreum</t>
  </si>
  <si>
    <t>solast</t>
  </si>
  <si>
    <t>Solanum lepidotum</t>
  </si>
  <si>
    <t>urerba</t>
  </si>
  <si>
    <t>Urera baccifera</t>
  </si>
  <si>
    <t>Urera</t>
  </si>
  <si>
    <t>colugl</t>
  </si>
  <si>
    <t>Colubrina glandulosa</t>
  </si>
  <si>
    <t>Rhamnaceae</t>
  </si>
  <si>
    <t>Colubrina</t>
  </si>
  <si>
    <t>ingave</t>
  </si>
  <si>
    <t>Inga vera</t>
  </si>
  <si>
    <t>leandi</t>
  </si>
  <si>
    <t>Miconia sulcicaulis</t>
  </si>
  <si>
    <t>oreoca</t>
  </si>
  <si>
    <t>Oreopanax capitatus</t>
  </si>
  <si>
    <t>Oreopanax</t>
  </si>
  <si>
    <t>pit1ru</t>
  </si>
  <si>
    <t>Cojoba rufescens</t>
  </si>
  <si>
    <t>Cojoba</t>
  </si>
  <si>
    <t>psycpi</t>
  </si>
  <si>
    <t>Palicourea cyanococca</t>
  </si>
  <si>
    <t>rauvli</t>
  </si>
  <si>
    <t>Rauvolfia littoralis</t>
  </si>
  <si>
    <t>Rauvolfia</t>
  </si>
  <si>
    <t>tri1gi</t>
  </si>
  <si>
    <t>Trichanthera gigantea</t>
  </si>
  <si>
    <t>Trichanthera</t>
  </si>
  <si>
    <t>appuse</t>
  </si>
  <si>
    <t>Appunia siebertii</t>
  </si>
  <si>
    <t>Appunia</t>
  </si>
  <si>
    <t>boropa</t>
  </si>
  <si>
    <t>Alibertia dwyeri</t>
  </si>
  <si>
    <t>carica</t>
  </si>
  <si>
    <t>Vasconcellea cauliflora</t>
  </si>
  <si>
    <t>Caricaceae</t>
  </si>
  <si>
    <t>Vasconcellea</t>
  </si>
  <si>
    <t>cecrlo</t>
  </si>
  <si>
    <t>Cecropia longipes</t>
  </si>
  <si>
    <t>cespma</t>
  </si>
  <si>
    <t>Cespedesia spathulata</t>
  </si>
  <si>
    <t>Cespedesia</t>
  </si>
  <si>
    <t>cestra</t>
  </si>
  <si>
    <t>Cestrum racemosum</t>
  </si>
  <si>
    <t>clidse</t>
  </si>
  <si>
    <t>Miconia trichocalyx</t>
  </si>
  <si>
    <t>cupasc</t>
  </si>
  <si>
    <t>Cupania scrobiculata</t>
  </si>
  <si>
    <t>ficuc1</t>
  </si>
  <si>
    <t>Ficus colubrinae</t>
  </si>
  <si>
    <t>ficupe</t>
  </si>
  <si>
    <t>Ficus pertusa</t>
  </si>
  <si>
    <t>lozapi</t>
  </si>
  <si>
    <t>Lozania pittieri</t>
  </si>
  <si>
    <t>Lozania</t>
  </si>
  <si>
    <t>maclti</t>
  </si>
  <si>
    <t>Maclura tinctoria</t>
  </si>
  <si>
    <t>Maclura</t>
  </si>
  <si>
    <t>micodo</t>
  </si>
  <si>
    <t>Miconia dorsiloba</t>
  </si>
  <si>
    <t>micopr</t>
  </si>
  <si>
    <t>Miconia prasina</t>
  </si>
  <si>
    <t>nects1</t>
  </si>
  <si>
    <t>Nectandra fuzzy</t>
  </si>
  <si>
    <t>ormoam</t>
  </si>
  <si>
    <t>Ormosia amazonica</t>
  </si>
  <si>
    <t>pochqu</t>
  </si>
  <si>
    <t>Pochota fendleri</t>
  </si>
  <si>
    <t>Pochota</t>
  </si>
  <si>
    <t>pse2sp</t>
  </si>
  <si>
    <t>Pseudolmedia spuria</t>
  </si>
  <si>
    <t>Pseudolmedia</t>
  </si>
  <si>
    <t>stemgr</t>
  </si>
  <si>
    <t>Tabernaemontana grandiflora</t>
  </si>
  <si>
    <t>tet4jo</t>
  </si>
  <si>
    <t>Tetrathylacium johansenii</t>
  </si>
  <si>
    <t>Tetrathylacium</t>
  </si>
  <si>
    <t>tremmi</t>
  </si>
  <si>
    <t>Trema micranthum</t>
  </si>
  <si>
    <t>tri4ga</t>
  </si>
  <si>
    <t>Trichospermum mexicanum</t>
  </si>
  <si>
    <t>Trichospermum</t>
  </si>
  <si>
    <t>cumsum_npct_ind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</si>
</sst>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0C12-61F7-3B4C-80FB-E057795F76C8}">
  <dimension ref="A1:I301"/>
  <sheetViews>
    <sheetView tabSelected="1" workbookViewId="0">
      <selection activeCell="C6" sqref="C6"/>
    </sheetView>
  </sheetViews>
  <sheetFormatPr baseColWidth="10" defaultRowHeight="16" x14ac:dyDescent="0.2"/>
  <cols>
    <col min="1" max="1" width="7.83203125" bestFit="1" customWidth="1"/>
    <col min="2" max="2" width="29.5" bestFit="1" customWidth="1"/>
    <col min="3" max="3" width="16.5" bestFit="1" customWidth="1"/>
    <col min="4" max="4" width="15.8320312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6.6640625" bestFit="1" customWidth="1"/>
    <col min="9" max="9" width="15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846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>
        <v>24720</v>
      </c>
      <c r="F2">
        <v>14.2768154469946</v>
      </c>
      <c r="G2">
        <v>12.15</v>
      </c>
      <c r="H2">
        <v>0.91</v>
      </c>
      <c r="I2">
        <f>G2</f>
        <v>12.15</v>
      </c>
    </row>
    <row r="3" spans="1:9" x14ac:dyDescent="0.2">
      <c r="A3" t="s">
        <v>12</v>
      </c>
      <c r="B3" t="s">
        <v>13</v>
      </c>
      <c r="C3" t="s">
        <v>14</v>
      </c>
      <c r="D3" t="s">
        <v>15</v>
      </c>
      <c r="E3">
        <v>21604</v>
      </c>
      <c r="F3">
        <v>64.003123636055093</v>
      </c>
      <c r="G3">
        <v>10.62</v>
      </c>
      <c r="H3">
        <v>4.08</v>
      </c>
      <c r="I3">
        <f>G3+I2</f>
        <v>22.77</v>
      </c>
    </row>
    <row r="4" spans="1:9" x14ac:dyDescent="0.2">
      <c r="A4" t="s">
        <v>16</v>
      </c>
      <c r="B4" t="s">
        <v>17</v>
      </c>
      <c r="C4" t="s">
        <v>18</v>
      </c>
      <c r="D4" t="s">
        <v>19</v>
      </c>
      <c r="E4">
        <v>10067</v>
      </c>
      <c r="F4">
        <v>62.201058180669001</v>
      </c>
      <c r="G4">
        <v>4.95</v>
      </c>
      <c r="H4">
        <v>3.97</v>
      </c>
      <c r="I4">
        <f>G4+I3</f>
        <v>27.72</v>
      </c>
    </row>
    <row r="5" spans="1:9" x14ac:dyDescent="0.2">
      <c r="A5" t="s">
        <v>20</v>
      </c>
      <c r="B5" t="s">
        <v>21</v>
      </c>
      <c r="C5" t="s">
        <v>22</v>
      </c>
      <c r="D5" t="s">
        <v>23</v>
      </c>
      <c r="E5">
        <v>9174</v>
      </c>
      <c r="F5">
        <v>6.4637836878622199</v>
      </c>
      <c r="G5">
        <v>4.51</v>
      </c>
      <c r="H5">
        <v>0.41</v>
      </c>
      <c r="I5">
        <f t="shared" ref="I5:I68" si="0">G5+I4</f>
        <v>32.229999999999997</v>
      </c>
    </row>
    <row r="6" spans="1:9" x14ac:dyDescent="0.2">
      <c r="A6" t="s">
        <v>24</v>
      </c>
      <c r="B6" t="s">
        <v>25</v>
      </c>
      <c r="C6" t="s">
        <v>14</v>
      </c>
      <c r="D6" t="s">
        <v>26</v>
      </c>
      <c r="E6">
        <v>8117</v>
      </c>
      <c r="F6">
        <v>79.929175480621595</v>
      </c>
      <c r="G6">
        <v>3.99</v>
      </c>
      <c r="H6">
        <v>5.0999999999999996</v>
      </c>
      <c r="I6">
        <f t="shared" si="0"/>
        <v>36.22</v>
      </c>
    </row>
    <row r="7" spans="1:9" x14ac:dyDescent="0.2">
      <c r="A7" t="s">
        <v>27</v>
      </c>
      <c r="B7" t="s">
        <v>28</v>
      </c>
      <c r="C7" t="s">
        <v>29</v>
      </c>
      <c r="D7" t="s">
        <v>30</v>
      </c>
      <c r="E7">
        <v>6988</v>
      </c>
      <c r="F7">
        <v>2.86341640508692</v>
      </c>
      <c r="G7">
        <v>3.43</v>
      </c>
      <c r="H7">
        <v>0.18</v>
      </c>
      <c r="I7">
        <f t="shared" si="0"/>
        <v>39.65</v>
      </c>
    </row>
    <row r="8" spans="1:9" x14ac:dyDescent="0.2">
      <c r="A8" t="s">
        <v>31</v>
      </c>
      <c r="B8" t="s">
        <v>32</v>
      </c>
      <c r="C8" t="s">
        <v>33</v>
      </c>
      <c r="D8" t="s">
        <v>34</v>
      </c>
      <c r="E8">
        <v>6523</v>
      </c>
      <c r="F8">
        <v>29.747426677575401</v>
      </c>
      <c r="G8">
        <v>3.21</v>
      </c>
      <c r="H8">
        <v>1.9</v>
      </c>
      <c r="I8">
        <f t="shared" si="0"/>
        <v>42.86</v>
      </c>
    </row>
    <row r="9" spans="1:9" x14ac:dyDescent="0.2">
      <c r="A9" t="s">
        <v>35</v>
      </c>
      <c r="B9" t="s">
        <v>36</v>
      </c>
      <c r="C9" t="s">
        <v>37</v>
      </c>
      <c r="D9" t="s">
        <v>38</v>
      </c>
      <c r="E9">
        <v>5795</v>
      </c>
      <c r="F9">
        <v>7.9223112741901698</v>
      </c>
      <c r="G9">
        <v>2.85</v>
      </c>
      <c r="H9">
        <v>0.51</v>
      </c>
      <c r="I9">
        <f t="shared" si="0"/>
        <v>45.71</v>
      </c>
    </row>
    <row r="10" spans="1:9" x14ac:dyDescent="0.2">
      <c r="A10" t="s">
        <v>39</v>
      </c>
      <c r="B10" t="s">
        <v>40</v>
      </c>
      <c r="C10" t="s">
        <v>41</v>
      </c>
      <c r="D10" t="s">
        <v>42</v>
      </c>
      <c r="E10">
        <v>3917</v>
      </c>
      <c r="F10">
        <v>27.046015137051398</v>
      </c>
      <c r="G10">
        <v>1.92</v>
      </c>
      <c r="H10">
        <v>1.73</v>
      </c>
      <c r="I10">
        <f t="shared" si="0"/>
        <v>47.63</v>
      </c>
    </row>
    <row r="11" spans="1:9" x14ac:dyDescent="0.2">
      <c r="A11" t="s">
        <v>43</v>
      </c>
      <c r="B11" t="s">
        <v>44</v>
      </c>
      <c r="C11" t="s">
        <v>33</v>
      </c>
      <c r="D11" t="s">
        <v>34</v>
      </c>
      <c r="E11">
        <v>3112</v>
      </c>
      <c r="F11">
        <v>18.3920245776456</v>
      </c>
      <c r="G11">
        <v>1.53</v>
      </c>
      <c r="H11">
        <v>1.17</v>
      </c>
      <c r="I11">
        <f t="shared" si="0"/>
        <v>49.160000000000004</v>
      </c>
    </row>
    <row r="12" spans="1:9" x14ac:dyDescent="0.2">
      <c r="A12" t="s">
        <v>45</v>
      </c>
      <c r="B12" t="s">
        <v>46</v>
      </c>
      <c r="C12" t="s">
        <v>33</v>
      </c>
      <c r="D12" t="s">
        <v>34</v>
      </c>
      <c r="E12">
        <v>3056</v>
      </c>
      <c r="F12">
        <v>4.0242663065148303</v>
      </c>
      <c r="G12">
        <v>1.5</v>
      </c>
      <c r="H12">
        <v>0.26</v>
      </c>
      <c r="I12">
        <f t="shared" si="0"/>
        <v>50.660000000000004</v>
      </c>
    </row>
    <row r="13" spans="1:9" x14ac:dyDescent="0.2">
      <c r="A13" t="s">
        <v>47</v>
      </c>
      <c r="B13" t="s">
        <v>48</v>
      </c>
      <c r="C13" t="s">
        <v>49</v>
      </c>
      <c r="D13" t="s">
        <v>50</v>
      </c>
      <c r="E13">
        <v>3046</v>
      </c>
      <c r="F13">
        <v>5.9299917530998103</v>
      </c>
      <c r="G13">
        <v>1.5</v>
      </c>
      <c r="H13">
        <v>0.38</v>
      </c>
      <c r="I13">
        <f t="shared" si="0"/>
        <v>52.160000000000004</v>
      </c>
    </row>
    <row r="14" spans="1:9" x14ac:dyDescent="0.2">
      <c r="A14" t="s">
        <v>51</v>
      </c>
      <c r="B14" t="s">
        <v>52</v>
      </c>
      <c r="C14" t="s">
        <v>49</v>
      </c>
      <c r="D14" t="s">
        <v>50</v>
      </c>
      <c r="E14">
        <v>3031</v>
      </c>
      <c r="F14">
        <v>8.6966840181697105</v>
      </c>
      <c r="G14">
        <v>1.49</v>
      </c>
      <c r="H14">
        <v>0.55000000000000004</v>
      </c>
      <c r="I14">
        <f t="shared" si="0"/>
        <v>53.650000000000006</v>
      </c>
    </row>
    <row r="15" spans="1:9" x14ac:dyDescent="0.2">
      <c r="A15" t="s">
        <v>53</v>
      </c>
      <c r="B15" t="s">
        <v>54</v>
      </c>
      <c r="C15" t="s">
        <v>22</v>
      </c>
      <c r="D15" t="s">
        <v>55</v>
      </c>
      <c r="E15">
        <v>2786</v>
      </c>
      <c r="F15">
        <v>7.94673794246994</v>
      </c>
      <c r="G15">
        <v>1.37</v>
      </c>
      <c r="H15">
        <v>0.51</v>
      </c>
      <c r="I15">
        <f t="shared" si="0"/>
        <v>55.02</v>
      </c>
    </row>
    <row r="16" spans="1:9" x14ac:dyDescent="0.2">
      <c r="A16" t="s">
        <v>56</v>
      </c>
      <c r="B16" t="s">
        <v>57</v>
      </c>
      <c r="C16" t="s">
        <v>58</v>
      </c>
      <c r="D16" t="s">
        <v>59</v>
      </c>
      <c r="E16">
        <v>2737</v>
      </c>
      <c r="F16">
        <v>1.59178923430435</v>
      </c>
      <c r="G16">
        <v>1.35</v>
      </c>
      <c r="H16">
        <v>0.1</v>
      </c>
      <c r="I16">
        <f t="shared" si="0"/>
        <v>56.370000000000005</v>
      </c>
    </row>
    <row r="17" spans="1:9" x14ac:dyDescent="0.2">
      <c r="A17" t="s">
        <v>60</v>
      </c>
      <c r="B17" t="s">
        <v>61</v>
      </c>
      <c r="C17" t="s">
        <v>62</v>
      </c>
      <c r="D17" t="s">
        <v>63</v>
      </c>
      <c r="E17">
        <v>2455</v>
      </c>
      <c r="F17">
        <v>5.8847771662312001</v>
      </c>
      <c r="G17">
        <v>1.21</v>
      </c>
      <c r="H17">
        <v>0.38</v>
      </c>
      <c r="I17">
        <f t="shared" si="0"/>
        <v>57.580000000000005</v>
      </c>
    </row>
    <row r="18" spans="1:9" x14ac:dyDescent="0.2">
      <c r="A18" t="s">
        <v>64</v>
      </c>
      <c r="B18" t="s">
        <v>65</v>
      </c>
      <c r="C18" t="s">
        <v>66</v>
      </c>
      <c r="D18" t="s">
        <v>67</v>
      </c>
      <c r="E18">
        <v>2417</v>
      </c>
      <c r="F18">
        <v>85.937150202760705</v>
      </c>
      <c r="G18">
        <v>1.19</v>
      </c>
      <c r="H18">
        <v>5.48</v>
      </c>
      <c r="I18">
        <f t="shared" si="0"/>
        <v>58.77</v>
      </c>
    </row>
    <row r="19" spans="1:9" x14ac:dyDescent="0.2">
      <c r="A19" t="s">
        <v>68</v>
      </c>
      <c r="B19" t="s">
        <v>69</v>
      </c>
      <c r="C19" t="s">
        <v>58</v>
      </c>
      <c r="D19" t="s">
        <v>59</v>
      </c>
      <c r="E19">
        <v>2395</v>
      </c>
      <c r="F19">
        <v>5.2997167955568196</v>
      </c>
      <c r="G19">
        <v>1.18</v>
      </c>
      <c r="H19">
        <v>0.34</v>
      </c>
      <c r="I19">
        <f t="shared" si="0"/>
        <v>59.95</v>
      </c>
    </row>
    <row r="20" spans="1:9" x14ac:dyDescent="0.2">
      <c r="A20" t="s">
        <v>70</v>
      </c>
      <c r="B20" t="s">
        <v>71</v>
      </c>
      <c r="C20" t="s">
        <v>10</v>
      </c>
      <c r="D20" t="s">
        <v>72</v>
      </c>
      <c r="E20">
        <v>2254</v>
      </c>
      <c r="F20">
        <v>1.2912597686729701</v>
      </c>
      <c r="G20">
        <v>1.1100000000000001</v>
      </c>
      <c r="H20">
        <v>0.08</v>
      </c>
      <c r="I20">
        <f t="shared" si="0"/>
        <v>61.06</v>
      </c>
    </row>
    <row r="21" spans="1:9" x14ac:dyDescent="0.2">
      <c r="A21" t="s">
        <v>73</v>
      </c>
      <c r="B21" t="s">
        <v>74</v>
      </c>
      <c r="C21" t="s">
        <v>75</v>
      </c>
      <c r="D21" t="s">
        <v>76</v>
      </c>
      <c r="E21">
        <v>2226</v>
      </c>
      <c r="F21">
        <v>15.5941865630083</v>
      </c>
      <c r="G21">
        <v>1.0900000000000001</v>
      </c>
      <c r="H21">
        <v>0.99</v>
      </c>
      <c r="I21">
        <f t="shared" si="0"/>
        <v>62.150000000000006</v>
      </c>
    </row>
    <row r="22" spans="1:9" x14ac:dyDescent="0.2">
      <c r="A22" t="s">
        <v>77</v>
      </c>
      <c r="B22" t="s">
        <v>78</v>
      </c>
      <c r="C22" t="s">
        <v>79</v>
      </c>
      <c r="D22" t="s">
        <v>80</v>
      </c>
      <c r="E22">
        <v>2020</v>
      </c>
      <c r="F22">
        <v>15.969457659461201</v>
      </c>
      <c r="G22">
        <v>0.99</v>
      </c>
      <c r="H22">
        <v>1.02</v>
      </c>
      <c r="I22">
        <f t="shared" si="0"/>
        <v>63.140000000000008</v>
      </c>
    </row>
    <row r="23" spans="1:9" x14ac:dyDescent="0.2">
      <c r="A23" t="s">
        <v>81</v>
      </c>
      <c r="B23" t="s">
        <v>82</v>
      </c>
      <c r="C23" t="s">
        <v>14</v>
      </c>
      <c r="D23" t="s">
        <v>83</v>
      </c>
      <c r="E23">
        <v>1995</v>
      </c>
      <c r="F23">
        <v>3.2518947570555099</v>
      </c>
      <c r="G23">
        <v>0.98</v>
      </c>
      <c r="H23">
        <v>0.21</v>
      </c>
      <c r="I23">
        <f t="shared" si="0"/>
        <v>64.12</v>
      </c>
    </row>
    <row r="24" spans="1:9" x14ac:dyDescent="0.2">
      <c r="A24" t="s">
        <v>84</v>
      </c>
      <c r="B24" t="s">
        <v>85</v>
      </c>
      <c r="C24" t="s">
        <v>18</v>
      </c>
      <c r="D24" t="s">
        <v>86</v>
      </c>
      <c r="E24">
        <v>1975</v>
      </c>
      <c r="F24">
        <v>15.741228807159599</v>
      </c>
      <c r="G24">
        <v>0.97</v>
      </c>
      <c r="H24">
        <v>1</v>
      </c>
      <c r="I24">
        <f t="shared" si="0"/>
        <v>65.09</v>
      </c>
    </row>
    <row r="25" spans="1:9" x14ac:dyDescent="0.2">
      <c r="A25" t="s">
        <v>87</v>
      </c>
      <c r="B25" t="s">
        <v>88</v>
      </c>
      <c r="C25" t="s">
        <v>89</v>
      </c>
      <c r="D25" t="s">
        <v>90</v>
      </c>
      <c r="E25">
        <v>1972</v>
      </c>
      <c r="F25">
        <v>3.2075119068419</v>
      </c>
      <c r="G25">
        <v>0.97</v>
      </c>
      <c r="H25">
        <v>0.2</v>
      </c>
      <c r="I25">
        <f t="shared" si="0"/>
        <v>66.06</v>
      </c>
    </row>
    <row r="26" spans="1:9" x14ac:dyDescent="0.2">
      <c r="A26" t="s">
        <v>91</v>
      </c>
      <c r="B26" t="s">
        <v>92</v>
      </c>
      <c r="C26" t="s">
        <v>93</v>
      </c>
      <c r="D26" t="s">
        <v>94</v>
      </c>
      <c r="E26">
        <v>1839</v>
      </c>
      <c r="F26">
        <v>1.7972619602197399</v>
      </c>
      <c r="G26">
        <v>0.9</v>
      </c>
      <c r="H26">
        <v>0.11</v>
      </c>
      <c r="I26">
        <f t="shared" si="0"/>
        <v>66.960000000000008</v>
      </c>
    </row>
    <row r="27" spans="1:9" x14ac:dyDescent="0.2">
      <c r="A27" t="s">
        <v>95</v>
      </c>
      <c r="B27" t="s">
        <v>96</v>
      </c>
      <c r="C27" t="s">
        <v>97</v>
      </c>
      <c r="D27" t="s">
        <v>98</v>
      </c>
      <c r="E27">
        <v>1832</v>
      </c>
      <c r="F27">
        <v>50.249618985332503</v>
      </c>
      <c r="G27">
        <v>0.9</v>
      </c>
      <c r="H27">
        <v>3.21</v>
      </c>
      <c r="I27">
        <f t="shared" si="0"/>
        <v>67.860000000000014</v>
      </c>
    </row>
    <row r="28" spans="1:9" x14ac:dyDescent="0.2">
      <c r="A28" t="s">
        <v>99</v>
      </c>
      <c r="B28" t="s">
        <v>100</v>
      </c>
      <c r="C28" t="s">
        <v>101</v>
      </c>
      <c r="D28" t="s">
        <v>102</v>
      </c>
      <c r="E28">
        <v>1823</v>
      </c>
      <c r="F28">
        <v>32.0320478331383</v>
      </c>
      <c r="G28">
        <v>0.9</v>
      </c>
      <c r="H28">
        <v>2.04</v>
      </c>
      <c r="I28">
        <f t="shared" si="0"/>
        <v>68.760000000000019</v>
      </c>
    </row>
    <row r="29" spans="1:9" x14ac:dyDescent="0.2">
      <c r="A29" t="s">
        <v>103</v>
      </c>
      <c r="B29" t="s">
        <v>104</v>
      </c>
      <c r="C29" t="s">
        <v>105</v>
      </c>
      <c r="D29" t="s">
        <v>106</v>
      </c>
      <c r="E29">
        <v>1747</v>
      </c>
      <c r="F29">
        <v>24.5132819892833</v>
      </c>
      <c r="G29">
        <v>0.86</v>
      </c>
      <c r="H29">
        <v>1.56</v>
      </c>
      <c r="I29">
        <f t="shared" si="0"/>
        <v>69.620000000000019</v>
      </c>
    </row>
    <row r="30" spans="1:9" x14ac:dyDescent="0.2">
      <c r="A30" t="s">
        <v>107</v>
      </c>
      <c r="B30" t="s">
        <v>108</v>
      </c>
      <c r="C30" t="s">
        <v>49</v>
      </c>
      <c r="D30" t="s">
        <v>109</v>
      </c>
      <c r="E30">
        <v>1714</v>
      </c>
      <c r="F30">
        <v>12.6584891795458</v>
      </c>
      <c r="G30">
        <v>0.84</v>
      </c>
      <c r="H30">
        <v>0.81</v>
      </c>
      <c r="I30">
        <f t="shared" si="0"/>
        <v>70.460000000000022</v>
      </c>
    </row>
    <row r="31" spans="1:9" x14ac:dyDescent="0.2">
      <c r="A31" t="s">
        <v>110</v>
      </c>
      <c r="B31" t="s">
        <v>111</v>
      </c>
      <c r="C31" t="s">
        <v>49</v>
      </c>
      <c r="D31" t="s">
        <v>112</v>
      </c>
      <c r="E31">
        <v>1511</v>
      </c>
      <c r="F31">
        <v>3.7660501669365001</v>
      </c>
      <c r="G31">
        <v>0.74</v>
      </c>
      <c r="H31">
        <v>0.24</v>
      </c>
      <c r="I31">
        <f t="shared" si="0"/>
        <v>71.200000000000017</v>
      </c>
    </row>
    <row r="32" spans="1:9" x14ac:dyDescent="0.2">
      <c r="A32" t="s">
        <v>113</v>
      </c>
      <c r="B32" t="s">
        <v>114</v>
      </c>
      <c r="C32" t="s">
        <v>14</v>
      </c>
      <c r="D32" t="s">
        <v>115</v>
      </c>
      <c r="E32">
        <v>1453</v>
      </c>
      <c r="F32">
        <v>0.91770005481807304</v>
      </c>
      <c r="G32">
        <v>0.71</v>
      </c>
      <c r="H32">
        <v>0.06</v>
      </c>
      <c r="I32">
        <f t="shared" si="0"/>
        <v>71.910000000000011</v>
      </c>
    </row>
    <row r="33" spans="1:9" x14ac:dyDescent="0.2">
      <c r="A33" t="s">
        <v>116</v>
      </c>
      <c r="B33" t="s">
        <v>117</v>
      </c>
      <c r="C33" t="s">
        <v>118</v>
      </c>
      <c r="D33" t="s">
        <v>119</v>
      </c>
      <c r="E33">
        <v>1411</v>
      </c>
      <c r="F33">
        <v>1.3823730242105401</v>
      </c>
      <c r="G33">
        <v>0.69</v>
      </c>
      <c r="H33">
        <v>0.09</v>
      </c>
      <c r="I33">
        <f t="shared" si="0"/>
        <v>72.600000000000009</v>
      </c>
    </row>
    <row r="34" spans="1:9" x14ac:dyDescent="0.2">
      <c r="A34" t="s">
        <v>120</v>
      </c>
      <c r="B34" t="s">
        <v>121</v>
      </c>
      <c r="C34" t="s">
        <v>122</v>
      </c>
      <c r="D34" t="s">
        <v>123</v>
      </c>
      <c r="E34">
        <v>1388</v>
      </c>
      <c r="F34">
        <v>2.6458084921488298</v>
      </c>
      <c r="G34">
        <v>0.68</v>
      </c>
      <c r="H34">
        <v>0.17</v>
      </c>
      <c r="I34">
        <f t="shared" si="0"/>
        <v>73.280000000000015</v>
      </c>
    </row>
    <row r="35" spans="1:9" x14ac:dyDescent="0.2">
      <c r="A35" t="s">
        <v>124</v>
      </c>
      <c r="B35" t="s">
        <v>125</v>
      </c>
      <c r="C35" t="s">
        <v>49</v>
      </c>
      <c r="D35" t="s">
        <v>112</v>
      </c>
      <c r="E35">
        <v>1352</v>
      </c>
      <c r="F35">
        <v>6.2009509778792697</v>
      </c>
      <c r="G35">
        <v>0.66</v>
      </c>
      <c r="H35">
        <v>0.4</v>
      </c>
      <c r="I35">
        <f t="shared" si="0"/>
        <v>73.940000000000012</v>
      </c>
    </row>
    <row r="36" spans="1:9" x14ac:dyDescent="0.2">
      <c r="A36" t="s">
        <v>126</v>
      </c>
      <c r="B36" t="s">
        <v>127</v>
      </c>
      <c r="C36" t="s">
        <v>128</v>
      </c>
      <c r="D36" t="s">
        <v>129</v>
      </c>
      <c r="E36">
        <v>1275</v>
      </c>
      <c r="F36">
        <v>1.4586171217186801</v>
      </c>
      <c r="G36">
        <v>0.63</v>
      </c>
      <c r="H36">
        <v>0.09</v>
      </c>
      <c r="I36">
        <f t="shared" si="0"/>
        <v>74.570000000000007</v>
      </c>
    </row>
    <row r="37" spans="1:9" x14ac:dyDescent="0.2">
      <c r="A37" t="s">
        <v>130</v>
      </c>
      <c r="B37" t="s">
        <v>131</v>
      </c>
      <c r="C37" t="s">
        <v>49</v>
      </c>
      <c r="D37" t="s">
        <v>132</v>
      </c>
      <c r="E37">
        <v>1242</v>
      </c>
      <c r="F37">
        <v>80.019361180925401</v>
      </c>
      <c r="G37">
        <v>0.61</v>
      </c>
      <c r="H37">
        <v>5.0999999999999996</v>
      </c>
      <c r="I37">
        <f t="shared" si="0"/>
        <v>75.180000000000007</v>
      </c>
    </row>
    <row r="38" spans="1:9" x14ac:dyDescent="0.2">
      <c r="A38" t="s">
        <v>133</v>
      </c>
      <c r="B38" t="s">
        <v>134</v>
      </c>
      <c r="C38" t="s">
        <v>135</v>
      </c>
      <c r="D38" t="s">
        <v>136</v>
      </c>
      <c r="E38">
        <v>1227</v>
      </c>
      <c r="F38">
        <v>0.58695632184079105</v>
      </c>
      <c r="G38">
        <v>0.6</v>
      </c>
      <c r="H38">
        <v>0.04</v>
      </c>
      <c r="I38">
        <f t="shared" si="0"/>
        <v>75.78</v>
      </c>
    </row>
    <row r="39" spans="1:9" x14ac:dyDescent="0.2">
      <c r="A39" t="s">
        <v>137</v>
      </c>
      <c r="B39" t="s">
        <v>138</v>
      </c>
      <c r="C39" t="s">
        <v>139</v>
      </c>
      <c r="D39" t="s">
        <v>140</v>
      </c>
      <c r="E39">
        <v>1223</v>
      </c>
      <c r="F39">
        <v>1.37725536977785</v>
      </c>
      <c r="G39">
        <v>0.6</v>
      </c>
      <c r="H39">
        <v>0.09</v>
      </c>
      <c r="I39">
        <f t="shared" si="0"/>
        <v>76.38</v>
      </c>
    </row>
    <row r="40" spans="1:9" x14ac:dyDescent="0.2">
      <c r="A40" t="s">
        <v>141</v>
      </c>
      <c r="B40" t="s">
        <v>142</v>
      </c>
      <c r="C40" t="s">
        <v>143</v>
      </c>
      <c r="D40" t="s">
        <v>144</v>
      </c>
      <c r="E40">
        <v>1126</v>
      </c>
      <c r="F40">
        <v>4.3863694173602603</v>
      </c>
      <c r="G40">
        <v>0.55000000000000004</v>
      </c>
      <c r="H40">
        <v>0.28000000000000003</v>
      </c>
      <c r="I40">
        <f t="shared" si="0"/>
        <v>76.929999999999993</v>
      </c>
    </row>
    <row r="41" spans="1:9" x14ac:dyDescent="0.2">
      <c r="A41" t="s">
        <v>145</v>
      </c>
      <c r="B41" t="s">
        <v>146</v>
      </c>
      <c r="C41" t="s">
        <v>147</v>
      </c>
      <c r="D41" t="s">
        <v>148</v>
      </c>
      <c r="E41">
        <v>1074</v>
      </c>
      <c r="F41">
        <v>4.1534383862543303</v>
      </c>
      <c r="G41">
        <v>0.53</v>
      </c>
      <c r="H41">
        <v>0.26</v>
      </c>
      <c r="I41">
        <f t="shared" si="0"/>
        <v>77.459999999999994</v>
      </c>
    </row>
    <row r="42" spans="1:9" x14ac:dyDescent="0.2">
      <c r="A42" t="s">
        <v>149</v>
      </c>
      <c r="B42" t="s">
        <v>150</v>
      </c>
      <c r="C42" t="s">
        <v>22</v>
      </c>
      <c r="D42" t="s">
        <v>151</v>
      </c>
      <c r="E42">
        <v>1071</v>
      </c>
      <c r="F42">
        <v>0.58730346782901399</v>
      </c>
      <c r="G42">
        <v>0.53</v>
      </c>
      <c r="H42">
        <v>0.04</v>
      </c>
      <c r="I42">
        <f t="shared" si="0"/>
        <v>77.989999999999995</v>
      </c>
    </row>
    <row r="43" spans="1:9" x14ac:dyDescent="0.2">
      <c r="A43" t="s">
        <v>152</v>
      </c>
      <c r="B43" t="s">
        <v>153</v>
      </c>
      <c r="C43" t="s">
        <v>22</v>
      </c>
      <c r="D43" t="s">
        <v>154</v>
      </c>
      <c r="E43">
        <v>1043</v>
      </c>
      <c r="F43">
        <v>12.339400755313401</v>
      </c>
      <c r="G43">
        <v>0.51</v>
      </c>
      <c r="H43">
        <v>0.79</v>
      </c>
      <c r="I43">
        <f t="shared" si="0"/>
        <v>78.5</v>
      </c>
    </row>
    <row r="44" spans="1:9" x14ac:dyDescent="0.2">
      <c r="A44" t="s">
        <v>155</v>
      </c>
      <c r="B44" t="s">
        <v>156</v>
      </c>
      <c r="C44" t="s">
        <v>89</v>
      </c>
      <c r="D44" t="s">
        <v>157</v>
      </c>
      <c r="E44">
        <v>1037</v>
      </c>
      <c r="F44">
        <v>3.8605194288262599</v>
      </c>
      <c r="G44">
        <v>0.51</v>
      </c>
      <c r="H44">
        <v>0.25</v>
      </c>
      <c r="I44">
        <f t="shared" si="0"/>
        <v>79.010000000000005</v>
      </c>
    </row>
    <row r="45" spans="1:9" x14ac:dyDescent="0.2">
      <c r="A45" t="s">
        <v>158</v>
      </c>
      <c r="B45" t="s">
        <v>159</v>
      </c>
      <c r="C45" t="s">
        <v>14</v>
      </c>
      <c r="D45" t="s">
        <v>160</v>
      </c>
      <c r="E45">
        <v>981</v>
      </c>
      <c r="F45">
        <v>0.195401565266141</v>
      </c>
      <c r="G45">
        <v>0.48</v>
      </c>
      <c r="H45">
        <v>0.01</v>
      </c>
      <c r="I45">
        <f t="shared" si="0"/>
        <v>79.490000000000009</v>
      </c>
    </row>
    <row r="46" spans="1:9" x14ac:dyDescent="0.2">
      <c r="A46" t="s">
        <v>161</v>
      </c>
      <c r="B46" t="s">
        <v>162</v>
      </c>
      <c r="C46" t="s">
        <v>14</v>
      </c>
      <c r="D46" t="s">
        <v>160</v>
      </c>
      <c r="E46">
        <v>967</v>
      </c>
      <c r="F46">
        <v>0.38404399393808603</v>
      </c>
      <c r="G46">
        <v>0.48</v>
      </c>
      <c r="H46">
        <v>0.02</v>
      </c>
      <c r="I46">
        <f t="shared" si="0"/>
        <v>79.970000000000013</v>
      </c>
    </row>
    <row r="47" spans="1:9" x14ac:dyDescent="0.2">
      <c r="A47" t="s">
        <v>163</v>
      </c>
      <c r="B47" t="s">
        <v>164</v>
      </c>
      <c r="C47" t="s">
        <v>165</v>
      </c>
      <c r="D47" t="s">
        <v>166</v>
      </c>
      <c r="E47">
        <v>958</v>
      </c>
      <c r="F47">
        <v>17.3006384313816</v>
      </c>
      <c r="G47">
        <v>0.47</v>
      </c>
      <c r="H47">
        <v>1.1000000000000001</v>
      </c>
      <c r="I47">
        <f t="shared" si="0"/>
        <v>80.440000000000012</v>
      </c>
    </row>
    <row r="48" spans="1:9" x14ac:dyDescent="0.2">
      <c r="A48" t="s">
        <v>167</v>
      </c>
      <c r="B48" t="s">
        <v>168</v>
      </c>
      <c r="C48" t="s">
        <v>169</v>
      </c>
      <c r="D48" t="s">
        <v>170</v>
      </c>
      <c r="E48">
        <v>952</v>
      </c>
      <c r="F48">
        <v>21.598874393836098</v>
      </c>
      <c r="G48">
        <v>0.47</v>
      </c>
      <c r="H48">
        <v>1.38</v>
      </c>
      <c r="I48">
        <f t="shared" si="0"/>
        <v>80.910000000000011</v>
      </c>
    </row>
    <row r="49" spans="1:9" x14ac:dyDescent="0.2">
      <c r="A49" t="s">
        <v>171</v>
      </c>
      <c r="B49" t="s">
        <v>172</v>
      </c>
      <c r="C49" t="s">
        <v>173</v>
      </c>
      <c r="D49" t="s">
        <v>174</v>
      </c>
      <c r="E49">
        <v>940</v>
      </c>
      <c r="F49">
        <v>17.2032757626578</v>
      </c>
      <c r="G49">
        <v>0.46</v>
      </c>
      <c r="H49">
        <v>1.1000000000000001</v>
      </c>
      <c r="I49">
        <f t="shared" si="0"/>
        <v>81.37</v>
      </c>
    </row>
    <row r="50" spans="1:9" x14ac:dyDescent="0.2">
      <c r="A50" t="s">
        <v>175</v>
      </c>
      <c r="B50" t="s">
        <v>176</v>
      </c>
      <c r="C50" t="s">
        <v>14</v>
      </c>
      <c r="D50" t="s">
        <v>177</v>
      </c>
      <c r="E50">
        <v>869</v>
      </c>
      <c r="F50">
        <v>3.9300664361951099</v>
      </c>
      <c r="G50">
        <v>0.43</v>
      </c>
      <c r="H50">
        <v>0.25</v>
      </c>
      <c r="I50">
        <f t="shared" si="0"/>
        <v>81.800000000000011</v>
      </c>
    </row>
    <row r="51" spans="1:9" x14ac:dyDescent="0.2">
      <c r="A51" t="s">
        <v>178</v>
      </c>
      <c r="B51" t="s">
        <v>179</v>
      </c>
      <c r="C51" t="s">
        <v>49</v>
      </c>
      <c r="D51" t="s">
        <v>180</v>
      </c>
      <c r="E51">
        <v>846</v>
      </c>
      <c r="F51">
        <v>2.0977647223135598</v>
      </c>
      <c r="G51">
        <v>0.42</v>
      </c>
      <c r="H51">
        <v>0.13</v>
      </c>
      <c r="I51">
        <f t="shared" si="0"/>
        <v>82.220000000000013</v>
      </c>
    </row>
    <row r="52" spans="1:9" x14ac:dyDescent="0.2">
      <c r="A52" t="s">
        <v>181</v>
      </c>
      <c r="B52" t="s">
        <v>182</v>
      </c>
      <c r="C52" t="s">
        <v>183</v>
      </c>
      <c r="D52" t="s">
        <v>184</v>
      </c>
      <c r="E52">
        <v>844</v>
      </c>
      <c r="F52">
        <v>11.4768356515658</v>
      </c>
      <c r="G52">
        <v>0.41</v>
      </c>
      <c r="H52">
        <v>0.73</v>
      </c>
      <c r="I52">
        <f t="shared" si="0"/>
        <v>82.63000000000001</v>
      </c>
    </row>
    <row r="53" spans="1:9" x14ac:dyDescent="0.2">
      <c r="A53" t="s">
        <v>185</v>
      </c>
      <c r="B53" t="s">
        <v>186</v>
      </c>
      <c r="C53" t="s">
        <v>89</v>
      </c>
      <c r="D53" t="s">
        <v>187</v>
      </c>
      <c r="E53">
        <v>815</v>
      </c>
      <c r="F53">
        <v>21.9028768901461</v>
      </c>
      <c r="G53">
        <v>0.4</v>
      </c>
      <c r="H53">
        <v>1.4</v>
      </c>
      <c r="I53">
        <f t="shared" si="0"/>
        <v>83.030000000000015</v>
      </c>
    </row>
    <row r="54" spans="1:9" x14ac:dyDescent="0.2">
      <c r="A54" t="s">
        <v>188</v>
      </c>
      <c r="B54" t="s">
        <v>189</v>
      </c>
      <c r="C54" t="s">
        <v>49</v>
      </c>
      <c r="D54" t="s">
        <v>112</v>
      </c>
      <c r="E54">
        <v>794</v>
      </c>
      <c r="F54">
        <v>1.37564608894105</v>
      </c>
      <c r="G54">
        <v>0.39</v>
      </c>
      <c r="H54">
        <v>0.09</v>
      </c>
      <c r="I54">
        <f t="shared" si="0"/>
        <v>83.420000000000016</v>
      </c>
    </row>
    <row r="55" spans="1:9" x14ac:dyDescent="0.2">
      <c r="A55" t="s">
        <v>190</v>
      </c>
      <c r="B55" t="s">
        <v>191</v>
      </c>
      <c r="C55" t="s">
        <v>147</v>
      </c>
      <c r="D55" t="s">
        <v>148</v>
      </c>
      <c r="E55">
        <v>790</v>
      </c>
      <c r="F55">
        <v>18.357791427898</v>
      </c>
      <c r="G55">
        <v>0.39</v>
      </c>
      <c r="H55">
        <v>1.17</v>
      </c>
      <c r="I55">
        <f t="shared" si="0"/>
        <v>83.810000000000016</v>
      </c>
    </row>
    <row r="56" spans="1:9" x14ac:dyDescent="0.2">
      <c r="A56" t="s">
        <v>192</v>
      </c>
      <c r="B56" t="s">
        <v>193</v>
      </c>
      <c r="C56" t="s">
        <v>122</v>
      </c>
      <c r="D56" t="s">
        <v>194</v>
      </c>
      <c r="E56">
        <v>790</v>
      </c>
      <c r="F56">
        <v>0.56084575989864605</v>
      </c>
      <c r="G56">
        <v>0.39</v>
      </c>
      <c r="H56">
        <v>0.04</v>
      </c>
      <c r="I56">
        <f t="shared" si="0"/>
        <v>84.200000000000017</v>
      </c>
    </row>
    <row r="57" spans="1:9" x14ac:dyDescent="0.2">
      <c r="A57" t="s">
        <v>195</v>
      </c>
      <c r="B57" t="s">
        <v>196</v>
      </c>
      <c r="C57" t="s">
        <v>169</v>
      </c>
      <c r="D57" t="s">
        <v>197</v>
      </c>
      <c r="E57">
        <v>757</v>
      </c>
      <c r="F57">
        <v>4.0548387154232497</v>
      </c>
      <c r="G57">
        <v>0.37</v>
      </c>
      <c r="H57">
        <v>0.26</v>
      </c>
      <c r="I57">
        <f t="shared" si="0"/>
        <v>84.570000000000022</v>
      </c>
    </row>
    <row r="58" spans="1:9" x14ac:dyDescent="0.2">
      <c r="A58" t="s">
        <v>198</v>
      </c>
      <c r="B58" t="s">
        <v>199</v>
      </c>
      <c r="C58" t="s">
        <v>200</v>
      </c>
      <c r="D58" t="s">
        <v>201</v>
      </c>
      <c r="E58">
        <v>754</v>
      </c>
      <c r="F58">
        <v>0.42087916780142698</v>
      </c>
      <c r="G58">
        <v>0.37</v>
      </c>
      <c r="H58">
        <v>0.03</v>
      </c>
      <c r="I58">
        <f t="shared" si="0"/>
        <v>84.940000000000026</v>
      </c>
    </row>
    <row r="59" spans="1:9" x14ac:dyDescent="0.2">
      <c r="A59" t="s">
        <v>202</v>
      </c>
      <c r="B59" t="s">
        <v>203</v>
      </c>
      <c r="C59" t="s">
        <v>204</v>
      </c>
      <c r="D59" t="s">
        <v>205</v>
      </c>
      <c r="E59">
        <v>722</v>
      </c>
      <c r="F59">
        <v>1.2891062069089301</v>
      </c>
      <c r="G59">
        <v>0.35</v>
      </c>
      <c r="H59">
        <v>0.08</v>
      </c>
      <c r="I59">
        <f t="shared" si="0"/>
        <v>85.29000000000002</v>
      </c>
    </row>
    <row r="60" spans="1:9" x14ac:dyDescent="0.2">
      <c r="A60" t="s">
        <v>206</v>
      </c>
      <c r="B60" t="s">
        <v>207</v>
      </c>
      <c r="C60" t="s">
        <v>33</v>
      </c>
      <c r="D60" t="s">
        <v>34</v>
      </c>
      <c r="E60">
        <v>721</v>
      </c>
      <c r="F60">
        <v>3.1892176274218902</v>
      </c>
      <c r="G60">
        <v>0.35</v>
      </c>
      <c r="H60">
        <v>0.2</v>
      </c>
      <c r="I60">
        <f t="shared" si="0"/>
        <v>85.640000000000015</v>
      </c>
    </row>
    <row r="61" spans="1:9" x14ac:dyDescent="0.2">
      <c r="A61" t="s">
        <v>208</v>
      </c>
      <c r="B61" t="s">
        <v>209</v>
      </c>
      <c r="C61" t="s">
        <v>122</v>
      </c>
      <c r="D61" t="s">
        <v>194</v>
      </c>
      <c r="E61">
        <v>670</v>
      </c>
      <c r="F61">
        <v>0.68174759697756104</v>
      </c>
      <c r="G61">
        <v>0.33</v>
      </c>
      <c r="H61">
        <v>0.04</v>
      </c>
      <c r="I61">
        <f t="shared" si="0"/>
        <v>85.970000000000013</v>
      </c>
    </row>
    <row r="62" spans="1:9" x14ac:dyDescent="0.2">
      <c r="A62" t="s">
        <v>210</v>
      </c>
      <c r="B62" t="s">
        <v>211</v>
      </c>
      <c r="C62" t="s">
        <v>212</v>
      </c>
      <c r="D62" t="s">
        <v>213</v>
      </c>
      <c r="E62">
        <v>663</v>
      </c>
      <c r="F62">
        <v>19.794385199716899</v>
      </c>
      <c r="G62">
        <v>0.33</v>
      </c>
      <c r="H62">
        <v>1.26</v>
      </c>
      <c r="I62">
        <f t="shared" si="0"/>
        <v>86.300000000000011</v>
      </c>
    </row>
    <row r="63" spans="1:9" x14ac:dyDescent="0.2">
      <c r="A63" t="s">
        <v>214</v>
      </c>
      <c r="B63" t="s">
        <v>215</v>
      </c>
      <c r="C63" t="s">
        <v>89</v>
      </c>
      <c r="D63" t="s">
        <v>216</v>
      </c>
      <c r="E63">
        <v>643</v>
      </c>
      <c r="F63">
        <v>15.5248500423473</v>
      </c>
      <c r="G63">
        <v>0.32</v>
      </c>
      <c r="H63">
        <v>0.99</v>
      </c>
      <c r="I63">
        <f t="shared" si="0"/>
        <v>86.62</v>
      </c>
    </row>
    <row r="64" spans="1:9" x14ac:dyDescent="0.2">
      <c r="A64" t="s">
        <v>217</v>
      </c>
      <c r="B64" t="s">
        <v>218</v>
      </c>
      <c r="C64" t="s">
        <v>128</v>
      </c>
      <c r="D64" t="s">
        <v>219</v>
      </c>
      <c r="E64">
        <v>627</v>
      </c>
      <c r="F64">
        <v>3.16304501902483</v>
      </c>
      <c r="G64">
        <v>0.31</v>
      </c>
      <c r="H64">
        <v>0.2</v>
      </c>
      <c r="I64">
        <f t="shared" si="0"/>
        <v>86.93</v>
      </c>
    </row>
    <row r="65" spans="1:9" x14ac:dyDescent="0.2">
      <c r="A65" t="s">
        <v>220</v>
      </c>
      <c r="B65" t="s">
        <v>221</v>
      </c>
      <c r="C65" t="s">
        <v>22</v>
      </c>
      <c r="D65" t="s">
        <v>222</v>
      </c>
      <c r="E65">
        <v>627</v>
      </c>
      <c r="F65">
        <v>3.9022036509504199</v>
      </c>
      <c r="G65">
        <v>0.31</v>
      </c>
      <c r="H65">
        <v>0.25</v>
      </c>
      <c r="I65">
        <f t="shared" si="0"/>
        <v>87.240000000000009</v>
      </c>
    </row>
    <row r="66" spans="1:9" x14ac:dyDescent="0.2">
      <c r="A66" t="s">
        <v>223</v>
      </c>
      <c r="B66" t="s">
        <v>224</v>
      </c>
      <c r="C66" t="s">
        <v>49</v>
      </c>
      <c r="D66" t="s">
        <v>225</v>
      </c>
      <c r="E66">
        <v>613</v>
      </c>
      <c r="F66">
        <v>4.3959324253977901</v>
      </c>
      <c r="G66">
        <v>0.3</v>
      </c>
      <c r="H66">
        <v>0.28000000000000003</v>
      </c>
      <c r="I66">
        <f t="shared" si="0"/>
        <v>87.54</v>
      </c>
    </row>
    <row r="67" spans="1:9" x14ac:dyDescent="0.2">
      <c r="A67" t="s">
        <v>226</v>
      </c>
      <c r="B67" t="s">
        <v>227</v>
      </c>
      <c r="C67" t="s">
        <v>29</v>
      </c>
      <c r="D67" t="s">
        <v>228</v>
      </c>
      <c r="E67">
        <v>602</v>
      </c>
      <c r="F67">
        <v>2.3375546355804402</v>
      </c>
      <c r="G67">
        <v>0.3</v>
      </c>
      <c r="H67">
        <v>0.15</v>
      </c>
      <c r="I67">
        <f t="shared" si="0"/>
        <v>87.84</v>
      </c>
    </row>
    <row r="68" spans="1:9" x14ac:dyDescent="0.2">
      <c r="A68" t="s">
        <v>229</v>
      </c>
      <c r="B68" t="s">
        <v>230</v>
      </c>
      <c r="C68" t="s">
        <v>58</v>
      </c>
      <c r="D68" t="s">
        <v>59</v>
      </c>
      <c r="E68">
        <v>597</v>
      </c>
      <c r="F68">
        <v>3.16701363594448</v>
      </c>
      <c r="G68">
        <v>0.28999999999999998</v>
      </c>
      <c r="H68">
        <v>0.2</v>
      </c>
      <c r="I68">
        <f t="shared" si="0"/>
        <v>88.13000000000001</v>
      </c>
    </row>
    <row r="69" spans="1:9" x14ac:dyDescent="0.2">
      <c r="A69" t="s">
        <v>231</v>
      </c>
      <c r="B69" t="s">
        <v>232</v>
      </c>
      <c r="C69" t="s">
        <v>58</v>
      </c>
      <c r="D69" t="s">
        <v>233</v>
      </c>
      <c r="E69">
        <v>596</v>
      </c>
      <c r="F69">
        <v>0.73207983827888401</v>
      </c>
      <c r="G69">
        <v>0.28999999999999998</v>
      </c>
      <c r="H69">
        <v>0.05</v>
      </c>
      <c r="I69">
        <f t="shared" ref="I69:I132" si="1">G69+I68</f>
        <v>88.420000000000016</v>
      </c>
    </row>
    <row r="70" spans="1:9" x14ac:dyDescent="0.2">
      <c r="A70" t="s">
        <v>234</v>
      </c>
      <c r="B70" t="s">
        <v>235</v>
      </c>
      <c r="C70" t="s">
        <v>18</v>
      </c>
      <c r="D70" t="s">
        <v>86</v>
      </c>
      <c r="E70">
        <v>551</v>
      </c>
      <c r="F70">
        <v>1.1676687282825799</v>
      </c>
      <c r="G70">
        <v>0.27</v>
      </c>
      <c r="H70">
        <v>7.0000000000000007E-2</v>
      </c>
      <c r="I70">
        <f t="shared" si="1"/>
        <v>88.690000000000012</v>
      </c>
    </row>
    <row r="71" spans="1:9" x14ac:dyDescent="0.2">
      <c r="A71" t="s">
        <v>236</v>
      </c>
      <c r="B71" t="s">
        <v>237</v>
      </c>
      <c r="C71" t="s">
        <v>22</v>
      </c>
      <c r="D71" t="s">
        <v>238</v>
      </c>
      <c r="E71">
        <v>543</v>
      </c>
      <c r="F71">
        <v>0.76354210330642203</v>
      </c>
      <c r="G71">
        <v>0.27</v>
      </c>
      <c r="H71">
        <v>0.05</v>
      </c>
      <c r="I71">
        <f t="shared" si="1"/>
        <v>88.960000000000008</v>
      </c>
    </row>
    <row r="72" spans="1:9" x14ac:dyDescent="0.2">
      <c r="A72" t="s">
        <v>239</v>
      </c>
      <c r="B72" t="s">
        <v>240</v>
      </c>
      <c r="C72" t="s">
        <v>101</v>
      </c>
      <c r="D72" t="s">
        <v>241</v>
      </c>
      <c r="E72">
        <v>522</v>
      </c>
      <c r="F72">
        <v>15.257587686722999</v>
      </c>
      <c r="G72">
        <v>0.26</v>
      </c>
      <c r="H72">
        <v>0.97</v>
      </c>
      <c r="I72">
        <f t="shared" si="1"/>
        <v>89.220000000000013</v>
      </c>
    </row>
    <row r="73" spans="1:9" x14ac:dyDescent="0.2">
      <c r="A73" t="s">
        <v>242</v>
      </c>
      <c r="B73" t="s">
        <v>243</v>
      </c>
      <c r="C73" t="s">
        <v>58</v>
      </c>
      <c r="D73" t="s">
        <v>59</v>
      </c>
      <c r="E73">
        <v>513</v>
      </c>
      <c r="F73">
        <v>2.0078217100394502</v>
      </c>
      <c r="G73">
        <v>0.25</v>
      </c>
      <c r="H73">
        <v>0.13</v>
      </c>
      <c r="I73">
        <f t="shared" si="1"/>
        <v>89.470000000000013</v>
      </c>
    </row>
    <row r="74" spans="1:9" x14ac:dyDescent="0.2">
      <c r="A74" t="s">
        <v>244</v>
      </c>
      <c r="B74" t="s">
        <v>245</v>
      </c>
      <c r="C74" t="s">
        <v>66</v>
      </c>
      <c r="D74" t="s">
        <v>246</v>
      </c>
      <c r="E74">
        <v>510</v>
      </c>
      <c r="F74">
        <v>0.47533474946058801</v>
      </c>
      <c r="G74">
        <v>0.25</v>
      </c>
      <c r="H74">
        <v>0.03</v>
      </c>
      <c r="I74">
        <f t="shared" si="1"/>
        <v>89.720000000000013</v>
      </c>
    </row>
    <row r="75" spans="1:9" x14ac:dyDescent="0.2">
      <c r="A75" t="s">
        <v>247</v>
      </c>
      <c r="B75" t="s">
        <v>248</v>
      </c>
      <c r="C75" t="s">
        <v>249</v>
      </c>
      <c r="D75" t="s">
        <v>250</v>
      </c>
      <c r="E75">
        <v>487</v>
      </c>
      <c r="F75">
        <v>0.78157720133251896</v>
      </c>
      <c r="G75">
        <v>0.24</v>
      </c>
      <c r="H75">
        <v>0.05</v>
      </c>
      <c r="I75">
        <f t="shared" si="1"/>
        <v>89.960000000000008</v>
      </c>
    </row>
    <row r="76" spans="1:9" x14ac:dyDescent="0.2">
      <c r="A76" t="s">
        <v>251</v>
      </c>
      <c r="B76" t="s">
        <v>252</v>
      </c>
      <c r="C76" t="s">
        <v>49</v>
      </c>
      <c r="D76" t="s">
        <v>112</v>
      </c>
      <c r="E76">
        <v>487</v>
      </c>
      <c r="F76">
        <v>1.9177640296334799</v>
      </c>
      <c r="G76">
        <v>0.24</v>
      </c>
      <c r="H76">
        <v>0.12</v>
      </c>
      <c r="I76">
        <f t="shared" si="1"/>
        <v>90.2</v>
      </c>
    </row>
    <row r="77" spans="1:9" x14ac:dyDescent="0.2">
      <c r="A77" t="s">
        <v>253</v>
      </c>
      <c r="B77" t="s">
        <v>254</v>
      </c>
      <c r="C77" t="s">
        <v>14</v>
      </c>
      <c r="D77" t="s">
        <v>255</v>
      </c>
      <c r="E77">
        <v>477</v>
      </c>
      <c r="F77">
        <v>0.39911499929551902</v>
      </c>
      <c r="G77">
        <v>0.23</v>
      </c>
      <c r="H77">
        <v>0.03</v>
      </c>
      <c r="I77">
        <f t="shared" si="1"/>
        <v>90.43</v>
      </c>
    </row>
    <row r="78" spans="1:9" x14ac:dyDescent="0.2">
      <c r="A78" t="s">
        <v>256</v>
      </c>
      <c r="B78" t="s">
        <v>257</v>
      </c>
      <c r="C78" t="s">
        <v>97</v>
      </c>
      <c r="D78" t="s">
        <v>258</v>
      </c>
      <c r="E78">
        <v>455</v>
      </c>
      <c r="F78">
        <v>4.0126219933443004</v>
      </c>
      <c r="G78">
        <v>0.22</v>
      </c>
      <c r="H78">
        <v>0.26</v>
      </c>
      <c r="I78">
        <f t="shared" si="1"/>
        <v>90.65</v>
      </c>
    </row>
    <row r="79" spans="1:9" x14ac:dyDescent="0.2">
      <c r="A79" t="s">
        <v>259</v>
      </c>
      <c r="B79" t="s">
        <v>260</v>
      </c>
      <c r="C79" t="s">
        <v>22</v>
      </c>
      <c r="D79" t="s">
        <v>261</v>
      </c>
      <c r="E79">
        <v>449</v>
      </c>
      <c r="F79">
        <v>0.24590109637627</v>
      </c>
      <c r="G79">
        <v>0.22</v>
      </c>
      <c r="H79">
        <v>0.02</v>
      </c>
      <c r="I79">
        <f t="shared" si="1"/>
        <v>90.87</v>
      </c>
    </row>
    <row r="80" spans="1:9" x14ac:dyDescent="0.2">
      <c r="A80" t="s">
        <v>262</v>
      </c>
      <c r="B80" t="s">
        <v>263</v>
      </c>
      <c r="C80" t="s">
        <v>18</v>
      </c>
      <c r="D80" t="s">
        <v>19</v>
      </c>
      <c r="E80">
        <v>448</v>
      </c>
      <c r="F80">
        <v>2.9209350395832798</v>
      </c>
      <c r="G80">
        <v>0.22</v>
      </c>
      <c r="H80">
        <v>0.19</v>
      </c>
      <c r="I80">
        <f t="shared" si="1"/>
        <v>91.09</v>
      </c>
    </row>
    <row r="81" spans="1:9" x14ac:dyDescent="0.2">
      <c r="A81" t="s">
        <v>264</v>
      </c>
      <c r="B81" t="s">
        <v>265</v>
      </c>
      <c r="C81" t="s">
        <v>29</v>
      </c>
      <c r="D81" t="s">
        <v>228</v>
      </c>
      <c r="E81">
        <v>442</v>
      </c>
      <c r="F81">
        <v>0.752774294486244</v>
      </c>
      <c r="G81">
        <v>0.22</v>
      </c>
      <c r="H81">
        <v>0.05</v>
      </c>
      <c r="I81">
        <f t="shared" si="1"/>
        <v>91.31</v>
      </c>
    </row>
    <row r="82" spans="1:9" x14ac:dyDescent="0.2">
      <c r="A82" t="s">
        <v>266</v>
      </c>
      <c r="B82" t="s">
        <v>267</v>
      </c>
      <c r="C82" t="s">
        <v>249</v>
      </c>
      <c r="D82" t="s">
        <v>250</v>
      </c>
      <c r="E82">
        <v>439</v>
      </c>
      <c r="F82">
        <v>0.98967158631732599</v>
      </c>
      <c r="G82">
        <v>0.22</v>
      </c>
      <c r="H82">
        <v>0.06</v>
      </c>
      <c r="I82">
        <f t="shared" si="1"/>
        <v>91.53</v>
      </c>
    </row>
    <row r="83" spans="1:9" x14ac:dyDescent="0.2">
      <c r="A83" t="s">
        <v>268</v>
      </c>
      <c r="B83" t="s">
        <v>269</v>
      </c>
      <c r="C83" t="s">
        <v>105</v>
      </c>
      <c r="D83" t="s">
        <v>270</v>
      </c>
      <c r="E83">
        <v>426</v>
      </c>
      <c r="F83">
        <v>1.5844693234214799</v>
      </c>
      <c r="G83">
        <v>0.21</v>
      </c>
      <c r="H83">
        <v>0.1</v>
      </c>
      <c r="I83">
        <f t="shared" si="1"/>
        <v>91.74</v>
      </c>
    </row>
    <row r="84" spans="1:9" x14ac:dyDescent="0.2">
      <c r="A84" t="s">
        <v>271</v>
      </c>
      <c r="B84" t="s">
        <v>272</v>
      </c>
      <c r="C84" t="s">
        <v>37</v>
      </c>
      <c r="D84" t="s">
        <v>273</v>
      </c>
      <c r="E84">
        <v>423</v>
      </c>
      <c r="F84">
        <v>0.65026412619961005</v>
      </c>
      <c r="G84">
        <v>0.21</v>
      </c>
      <c r="H84">
        <v>0.04</v>
      </c>
      <c r="I84">
        <f t="shared" si="1"/>
        <v>91.949999999999989</v>
      </c>
    </row>
    <row r="85" spans="1:9" x14ac:dyDescent="0.2">
      <c r="A85" t="s">
        <v>274</v>
      </c>
      <c r="B85" t="s">
        <v>275</v>
      </c>
      <c r="C85" t="s">
        <v>37</v>
      </c>
      <c r="D85" t="s">
        <v>38</v>
      </c>
      <c r="E85">
        <v>408</v>
      </c>
      <c r="F85">
        <v>0.78911702370113401</v>
      </c>
      <c r="G85">
        <v>0.2</v>
      </c>
      <c r="H85">
        <v>0.05</v>
      </c>
      <c r="I85">
        <f t="shared" si="1"/>
        <v>92.149999999999991</v>
      </c>
    </row>
    <row r="86" spans="1:9" x14ac:dyDescent="0.2">
      <c r="A86" t="s">
        <v>276</v>
      </c>
      <c r="B86" t="s">
        <v>277</v>
      </c>
      <c r="C86" t="s">
        <v>278</v>
      </c>
      <c r="D86" t="s">
        <v>279</v>
      </c>
      <c r="E86">
        <v>368</v>
      </c>
      <c r="F86">
        <v>5.6111028200008004</v>
      </c>
      <c r="G86">
        <v>0.18</v>
      </c>
      <c r="H86">
        <v>0.36</v>
      </c>
      <c r="I86">
        <f t="shared" si="1"/>
        <v>92.33</v>
      </c>
    </row>
    <row r="87" spans="1:9" x14ac:dyDescent="0.2">
      <c r="A87" t="s">
        <v>280</v>
      </c>
      <c r="B87" t="s">
        <v>281</v>
      </c>
      <c r="C87" t="s">
        <v>282</v>
      </c>
      <c r="D87" t="s">
        <v>283</v>
      </c>
      <c r="E87">
        <v>353</v>
      </c>
      <c r="F87">
        <v>0.18351299326679399</v>
      </c>
      <c r="G87">
        <v>0.17</v>
      </c>
      <c r="H87">
        <v>0.01</v>
      </c>
      <c r="I87">
        <f t="shared" si="1"/>
        <v>92.5</v>
      </c>
    </row>
    <row r="88" spans="1:9" x14ac:dyDescent="0.2">
      <c r="A88" t="s">
        <v>284</v>
      </c>
      <c r="B88" t="s">
        <v>285</v>
      </c>
      <c r="C88" t="s">
        <v>49</v>
      </c>
      <c r="D88" t="s">
        <v>112</v>
      </c>
      <c r="E88">
        <v>350</v>
      </c>
      <c r="F88">
        <v>2.1710219506062902</v>
      </c>
      <c r="G88">
        <v>0.17</v>
      </c>
      <c r="H88">
        <v>0.14000000000000001</v>
      </c>
      <c r="I88">
        <f t="shared" si="1"/>
        <v>92.67</v>
      </c>
    </row>
    <row r="89" spans="1:9" x14ac:dyDescent="0.2">
      <c r="A89" t="s">
        <v>286</v>
      </c>
      <c r="B89" t="s">
        <v>287</v>
      </c>
      <c r="C89" t="s">
        <v>29</v>
      </c>
      <c r="D89" t="s">
        <v>228</v>
      </c>
      <c r="E89">
        <v>340</v>
      </c>
      <c r="F89">
        <v>0.10110430557415399</v>
      </c>
      <c r="G89">
        <v>0.17</v>
      </c>
      <c r="H89">
        <v>0.01</v>
      </c>
      <c r="I89">
        <f t="shared" si="1"/>
        <v>92.84</v>
      </c>
    </row>
    <row r="90" spans="1:9" x14ac:dyDescent="0.2">
      <c r="A90" t="s">
        <v>288</v>
      </c>
      <c r="B90" t="s">
        <v>289</v>
      </c>
      <c r="C90" t="s">
        <v>49</v>
      </c>
      <c r="D90" t="s">
        <v>290</v>
      </c>
      <c r="E90">
        <v>316</v>
      </c>
      <c r="F90">
        <v>0.29939613608159799</v>
      </c>
      <c r="G90">
        <v>0.16</v>
      </c>
      <c r="H90">
        <v>0.02</v>
      </c>
      <c r="I90">
        <f t="shared" si="1"/>
        <v>93</v>
      </c>
    </row>
    <row r="91" spans="1:9" x14ac:dyDescent="0.2">
      <c r="A91" t="s">
        <v>291</v>
      </c>
      <c r="B91" t="s">
        <v>292</v>
      </c>
      <c r="C91" t="s">
        <v>249</v>
      </c>
      <c r="D91" t="s">
        <v>293</v>
      </c>
      <c r="E91">
        <v>311</v>
      </c>
      <c r="F91">
        <v>3.05163314795425</v>
      </c>
      <c r="G91">
        <v>0.15</v>
      </c>
      <c r="H91">
        <v>0.19</v>
      </c>
      <c r="I91">
        <f t="shared" si="1"/>
        <v>93.15</v>
      </c>
    </row>
    <row r="92" spans="1:9" x14ac:dyDescent="0.2">
      <c r="A92" t="s">
        <v>294</v>
      </c>
      <c r="B92" t="s">
        <v>295</v>
      </c>
      <c r="C92" t="s">
        <v>14</v>
      </c>
      <c r="D92" t="s">
        <v>296</v>
      </c>
      <c r="E92">
        <v>311</v>
      </c>
      <c r="F92">
        <v>0.28753269682347998</v>
      </c>
      <c r="G92">
        <v>0.15</v>
      </c>
      <c r="H92">
        <v>0.02</v>
      </c>
      <c r="I92">
        <f t="shared" si="1"/>
        <v>93.300000000000011</v>
      </c>
    </row>
    <row r="93" spans="1:9" x14ac:dyDescent="0.2">
      <c r="A93" t="s">
        <v>297</v>
      </c>
      <c r="B93" t="s">
        <v>298</v>
      </c>
      <c r="C93" t="s">
        <v>299</v>
      </c>
      <c r="D93" t="s">
        <v>300</v>
      </c>
      <c r="E93">
        <v>289</v>
      </c>
      <c r="F93">
        <v>0.608679649642205</v>
      </c>
      <c r="G93">
        <v>0.14000000000000001</v>
      </c>
      <c r="H93">
        <v>0.04</v>
      </c>
      <c r="I93">
        <f t="shared" si="1"/>
        <v>93.440000000000012</v>
      </c>
    </row>
    <row r="94" spans="1:9" x14ac:dyDescent="0.2">
      <c r="A94" t="s">
        <v>301</v>
      </c>
      <c r="B94" t="s">
        <v>302</v>
      </c>
      <c r="C94" t="s">
        <v>49</v>
      </c>
      <c r="D94" t="s">
        <v>112</v>
      </c>
      <c r="E94">
        <v>288</v>
      </c>
      <c r="F94">
        <v>1.32194213332425</v>
      </c>
      <c r="G94">
        <v>0.14000000000000001</v>
      </c>
      <c r="H94">
        <v>0.08</v>
      </c>
      <c r="I94">
        <f t="shared" si="1"/>
        <v>93.580000000000013</v>
      </c>
    </row>
    <row r="95" spans="1:9" x14ac:dyDescent="0.2">
      <c r="A95" t="s">
        <v>303</v>
      </c>
      <c r="B95" t="s">
        <v>304</v>
      </c>
      <c r="C95" t="s">
        <v>105</v>
      </c>
      <c r="D95" t="s">
        <v>270</v>
      </c>
      <c r="E95">
        <v>276</v>
      </c>
      <c r="F95">
        <v>22.1287534749484</v>
      </c>
      <c r="G95">
        <v>0.14000000000000001</v>
      </c>
      <c r="H95">
        <v>1.41</v>
      </c>
      <c r="I95">
        <f t="shared" si="1"/>
        <v>93.720000000000013</v>
      </c>
    </row>
    <row r="96" spans="1:9" x14ac:dyDescent="0.2">
      <c r="A96" t="s">
        <v>305</v>
      </c>
      <c r="B96" t="s">
        <v>306</v>
      </c>
      <c r="C96" t="s">
        <v>105</v>
      </c>
      <c r="D96" t="s">
        <v>270</v>
      </c>
      <c r="E96">
        <v>272</v>
      </c>
      <c r="F96">
        <v>4.1458757873389702</v>
      </c>
      <c r="G96">
        <v>0.13</v>
      </c>
      <c r="H96">
        <v>0.26</v>
      </c>
      <c r="I96">
        <f t="shared" si="1"/>
        <v>93.850000000000009</v>
      </c>
    </row>
    <row r="97" spans="1:9" x14ac:dyDescent="0.2">
      <c r="A97" t="s">
        <v>307</v>
      </c>
      <c r="B97" t="s">
        <v>308</v>
      </c>
      <c r="C97" t="s">
        <v>309</v>
      </c>
      <c r="D97" t="s">
        <v>310</v>
      </c>
      <c r="E97">
        <v>264</v>
      </c>
      <c r="F97">
        <v>40.960993723178802</v>
      </c>
      <c r="G97">
        <v>0.13</v>
      </c>
      <c r="H97">
        <v>2.61</v>
      </c>
      <c r="I97">
        <f t="shared" si="1"/>
        <v>93.98</v>
      </c>
    </row>
    <row r="98" spans="1:9" x14ac:dyDescent="0.2">
      <c r="A98" t="s">
        <v>311</v>
      </c>
      <c r="B98" t="s">
        <v>312</v>
      </c>
      <c r="C98" t="s">
        <v>97</v>
      </c>
      <c r="D98" t="s">
        <v>313</v>
      </c>
      <c r="E98">
        <v>263</v>
      </c>
      <c r="F98">
        <v>0.34135132057212603</v>
      </c>
      <c r="G98">
        <v>0.13</v>
      </c>
      <c r="H98">
        <v>0.02</v>
      </c>
      <c r="I98">
        <f t="shared" si="1"/>
        <v>94.11</v>
      </c>
    </row>
    <row r="99" spans="1:9" x14ac:dyDescent="0.2">
      <c r="A99" t="s">
        <v>314</v>
      </c>
      <c r="B99" t="s">
        <v>315</v>
      </c>
      <c r="C99" t="s">
        <v>309</v>
      </c>
      <c r="D99" t="s">
        <v>316</v>
      </c>
      <c r="E99">
        <v>256</v>
      </c>
      <c r="F99">
        <v>5.3470064043730998</v>
      </c>
      <c r="G99">
        <v>0.13</v>
      </c>
      <c r="H99">
        <v>0.34</v>
      </c>
      <c r="I99">
        <f t="shared" si="1"/>
        <v>94.24</v>
      </c>
    </row>
    <row r="100" spans="1:9" x14ac:dyDescent="0.2">
      <c r="A100" t="s">
        <v>317</v>
      </c>
      <c r="B100" t="s">
        <v>318</v>
      </c>
      <c r="C100" t="s">
        <v>319</v>
      </c>
      <c r="D100" t="s">
        <v>320</v>
      </c>
      <c r="E100">
        <v>254</v>
      </c>
      <c r="F100">
        <v>6.7827087492764901</v>
      </c>
      <c r="G100">
        <v>0.12</v>
      </c>
      <c r="H100">
        <v>0.43</v>
      </c>
      <c r="I100">
        <f t="shared" si="1"/>
        <v>94.36</v>
      </c>
    </row>
    <row r="101" spans="1:9" x14ac:dyDescent="0.2">
      <c r="A101" t="s">
        <v>321</v>
      </c>
      <c r="B101" t="s">
        <v>322</v>
      </c>
      <c r="C101" t="s">
        <v>49</v>
      </c>
      <c r="D101" t="s">
        <v>323</v>
      </c>
      <c r="E101">
        <v>241</v>
      </c>
      <c r="F101">
        <v>0.97410735091328005</v>
      </c>
      <c r="G101">
        <v>0.12</v>
      </c>
      <c r="H101">
        <v>0.06</v>
      </c>
      <c r="I101">
        <f t="shared" si="1"/>
        <v>94.48</v>
      </c>
    </row>
    <row r="102" spans="1:9" x14ac:dyDescent="0.2">
      <c r="A102" t="s">
        <v>324</v>
      </c>
      <c r="B102" t="s">
        <v>325</v>
      </c>
      <c r="C102" t="s">
        <v>128</v>
      </c>
      <c r="D102" t="s">
        <v>326</v>
      </c>
      <c r="E102">
        <v>229</v>
      </c>
      <c r="F102">
        <v>9.6445095903412508</v>
      </c>
      <c r="G102">
        <v>0.11</v>
      </c>
      <c r="H102">
        <v>0.62</v>
      </c>
      <c r="I102">
        <f t="shared" si="1"/>
        <v>94.59</v>
      </c>
    </row>
    <row r="103" spans="1:9" x14ac:dyDescent="0.2">
      <c r="A103" t="s">
        <v>327</v>
      </c>
      <c r="B103" t="s">
        <v>328</v>
      </c>
      <c r="C103" t="s">
        <v>41</v>
      </c>
      <c r="D103" t="s">
        <v>329</v>
      </c>
      <c r="E103">
        <v>229</v>
      </c>
      <c r="F103">
        <v>1.0027641737011601</v>
      </c>
      <c r="G103">
        <v>0.11</v>
      </c>
      <c r="H103">
        <v>0.06</v>
      </c>
      <c r="I103">
        <f t="shared" si="1"/>
        <v>94.7</v>
      </c>
    </row>
    <row r="104" spans="1:9" x14ac:dyDescent="0.2">
      <c r="A104" t="s">
        <v>330</v>
      </c>
      <c r="B104" t="s">
        <v>331</v>
      </c>
      <c r="C104" t="s">
        <v>165</v>
      </c>
      <c r="D104" t="s">
        <v>332</v>
      </c>
      <c r="E104">
        <v>228</v>
      </c>
      <c r="F104">
        <v>2.6844186658614499</v>
      </c>
      <c r="G104">
        <v>0.11</v>
      </c>
      <c r="H104">
        <v>0.17</v>
      </c>
      <c r="I104">
        <f t="shared" si="1"/>
        <v>94.81</v>
      </c>
    </row>
    <row r="105" spans="1:9" x14ac:dyDescent="0.2">
      <c r="A105" t="s">
        <v>333</v>
      </c>
      <c r="B105" t="s">
        <v>334</v>
      </c>
      <c r="C105" t="s">
        <v>66</v>
      </c>
      <c r="D105" t="s">
        <v>335</v>
      </c>
      <c r="E105">
        <v>222</v>
      </c>
      <c r="F105">
        <v>26.900115647228201</v>
      </c>
      <c r="G105">
        <v>0.11</v>
      </c>
      <c r="H105">
        <v>1.72</v>
      </c>
      <c r="I105">
        <f t="shared" si="1"/>
        <v>94.92</v>
      </c>
    </row>
    <row r="106" spans="1:9" x14ac:dyDescent="0.2">
      <c r="A106" t="s">
        <v>336</v>
      </c>
      <c r="B106" t="s">
        <v>337</v>
      </c>
      <c r="C106" t="s">
        <v>299</v>
      </c>
      <c r="D106" t="s">
        <v>338</v>
      </c>
      <c r="E106">
        <v>222</v>
      </c>
      <c r="F106">
        <v>3.5569379059319202</v>
      </c>
      <c r="G106">
        <v>0.11</v>
      </c>
      <c r="H106">
        <v>0.23</v>
      </c>
      <c r="I106">
        <f t="shared" si="1"/>
        <v>95.03</v>
      </c>
    </row>
    <row r="107" spans="1:9" x14ac:dyDescent="0.2">
      <c r="A107" t="s">
        <v>339</v>
      </c>
      <c r="B107" t="s">
        <v>340</v>
      </c>
      <c r="C107" t="s">
        <v>147</v>
      </c>
      <c r="D107" t="s">
        <v>148</v>
      </c>
      <c r="E107">
        <v>221</v>
      </c>
      <c r="F107">
        <v>4.3053406742406901</v>
      </c>
      <c r="G107">
        <v>0.11</v>
      </c>
      <c r="H107">
        <v>0.27</v>
      </c>
      <c r="I107">
        <f t="shared" si="1"/>
        <v>95.14</v>
      </c>
    </row>
    <row r="108" spans="1:9" x14ac:dyDescent="0.2">
      <c r="A108" t="s">
        <v>341</v>
      </c>
      <c r="B108" t="s">
        <v>342</v>
      </c>
      <c r="C108" t="s">
        <v>105</v>
      </c>
      <c r="D108" t="s">
        <v>343</v>
      </c>
      <c r="E108">
        <v>220</v>
      </c>
      <c r="F108">
        <v>1.3890104240894099</v>
      </c>
      <c r="G108">
        <v>0.11</v>
      </c>
      <c r="H108">
        <v>0.09</v>
      </c>
      <c r="I108">
        <f t="shared" si="1"/>
        <v>95.25</v>
      </c>
    </row>
    <row r="109" spans="1:9" x14ac:dyDescent="0.2">
      <c r="A109" t="s">
        <v>344</v>
      </c>
      <c r="B109" t="s">
        <v>345</v>
      </c>
      <c r="C109" t="s">
        <v>49</v>
      </c>
      <c r="D109" t="s">
        <v>112</v>
      </c>
      <c r="E109">
        <v>219</v>
      </c>
      <c r="F109">
        <v>1.96983985485755</v>
      </c>
      <c r="G109">
        <v>0.11</v>
      </c>
      <c r="H109">
        <v>0.13</v>
      </c>
      <c r="I109">
        <f t="shared" si="1"/>
        <v>95.36</v>
      </c>
    </row>
    <row r="110" spans="1:9" x14ac:dyDescent="0.2">
      <c r="A110" t="s">
        <v>346</v>
      </c>
      <c r="B110" t="s">
        <v>347</v>
      </c>
      <c r="C110" t="s">
        <v>169</v>
      </c>
      <c r="D110" t="s">
        <v>197</v>
      </c>
      <c r="E110">
        <v>213</v>
      </c>
      <c r="F110">
        <v>5.1807266176075704</v>
      </c>
      <c r="G110">
        <v>0.1</v>
      </c>
      <c r="H110">
        <v>0.33</v>
      </c>
      <c r="I110">
        <f t="shared" si="1"/>
        <v>95.46</v>
      </c>
    </row>
    <row r="111" spans="1:9" x14ac:dyDescent="0.2">
      <c r="A111" t="s">
        <v>348</v>
      </c>
      <c r="B111" t="s">
        <v>349</v>
      </c>
      <c r="C111" t="s">
        <v>89</v>
      </c>
      <c r="D111" t="s">
        <v>350</v>
      </c>
      <c r="E111">
        <v>209</v>
      </c>
      <c r="F111">
        <v>1.00364774663499</v>
      </c>
      <c r="G111">
        <v>0.1</v>
      </c>
      <c r="H111">
        <v>0.06</v>
      </c>
      <c r="I111">
        <f t="shared" si="1"/>
        <v>95.559999999999988</v>
      </c>
    </row>
    <row r="112" spans="1:9" x14ac:dyDescent="0.2">
      <c r="A112" t="s">
        <v>351</v>
      </c>
      <c r="B112" t="s">
        <v>352</v>
      </c>
      <c r="C112" t="s">
        <v>14</v>
      </c>
      <c r="D112" t="s">
        <v>353</v>
      </c>
      <c r="E112">
        <v>205</v>
      </c>
      <c r="F112">
        <v>1.5266333880670599</v>
      </c>
      <c r="G112">
        <v>0.1</v>
      </c>
      <c r="H112">
        <v>0.1</v>
      </c>
      <c r="I112">
        <f t="shared" si="1"/>
        <v>95.659999999999982</v>
      </c>
    </row>
    <row r="113" spans="1:9" x14ac:dyDescent="0.2">
      <c r="A113" t="s">
        <v>354</v>
      </c>
      <c r="B113" t="s">
        <v>355</v>
      </c>
      <c r="C113" t="s">
        <v>319</v>
      </c>
      <c r="D113" t="s">
        <v>320</v>
      </c>
      <c r="E113">
        <v>200</v>
      </c>
      <c r="F113">
        <v>7.1391263628170698</v>
      </c>
      <c r="G113">
        <v>0.1</v>
      </c>
      <c r="H113">
        <v>0.46</v>
      </c>
      <c r="I113">
        <f t="shared" si="1"/>
        <v>95.759999999999977</v>
      </c>
    </row>
    <row r="114" spans="1:9" x14ac:dyDescent="0.2">
      <c r="A114" t="s">
        <v>356</v>
      </c>
      <c r="B114" t="s">
        <v>357</v>
      </c>
      <c r="C114" t="s">
        <v>89</v>
      </c>
      <c r="D114" t="s">
        <v>358</v>
      </c>
      <c r="E114">
        <v>199</v>
      </c>
      <c r="F114">
        <v>0.54590670143266495</v>
      </c>
      <c r="G114">
        <v>0.1</v>
      </c>
      <c r="H114">
        <v>0.03</v>
      </c>
      <c r="I114">
        <f t="shared" si="1"/>
        <v>95.859999999999971</v>
      </c>
    </row>
    <row r="115" spans="1:9" x14ac:dyDescent="0.2">
      <c r="A115" t="s">
        <v>359</v>
      </c>
      <c r="B115" t="s">
        <v>360</v>
      </c>
      <c r="C115" t="s">
        <v>66</v>
      </c>
      <c r="D115" t="s">
        <v>361</v>
      </c>
      <c r="E115">
        <v>187</v>
      </c>
      <c r="F115">
        <v>18.651283725985401</v>
      </c>
      <c r="G115">
        <v>0.09</v>
      </c>
      <c r="H115">
        <v>1.19</v>
      </c>
      <c r="I115">
        <f t="shared" si="1"/>
        <v>95.949999999999974</v>
      </c>
    </row>
    <row r="116" spans="1:9" x14ac:dyDescent="0.2">
      <c r="A116" t="s">
        <v>362</v>
      </c>
      <c r="B116" t="s">
        <v>363</v>
      </c>
      <c r="C116" t="s">
        <v>364</v>
      </c>
      <c r="D116" t="s">
        <v>365</v>
      </c>
      <c r="E116">
        <v>182</v>
      </c>
      <c r="F116">
        <v>16.7958661733587</v>
      </c>
      <c r="G116">
        <v>0.09</v>
      </c>
      <c r="H116">
        <v>1.07</v>
      </c>
      <c r="I116">
        <f t="shared" si="1"/>
        <v>96.039999999999978</v>
      </c>
    </row>
    <row r="117" spans="1:9" x14ac:dyDescent="0.2">
      <c r="A117" t="s">
        <v>366</v>
      </c>
      <c r="B117" t="s">
        <v>367</v>
      </c>
      <c r="C117" t="s">
        <v>165</v>
      </c>
      <c r="D117" t="s">
        <v>166</v>
      </c>
      <c r="E117">
        <v>174</v>
      </c>
      <c r="F117">
        <v>2.2780772180645101</v>
      </c>
      <c r="G117">
        <v>0.09</v>
      </c>
      <c r="H117">
        <v>0.15</v>
      </c>
      <c r="I117">
        <f t="shared" si="1"/>
        <v>96.129999999999981</v>
      </c>
    </row>
    <row r="118" spans="1:9" x14ac:dyDescent="0.2">
      <c r="A118" t="s">
        <v>368</v>
      </c>
      <c r="B118" t="s">
        <v>369</v>
      </c>
      <c r="C118" t="s">
        <v>105</v>
      </c>
      <c r="D118" t="s">
        <v>343</v>
      </c>
      <c r="E118">
        <v>173</v>
      </c>
      <c r="F118">
        <v>1.4049791395476099</v>
      </c>
      <c r="G118">
        <v>0.09</v>
      </c>
      <c r="H118">
        <v>0.09</v>
      </c>
      <c r="I118">
        <f t="shared" si="1"/>
        <v>96.219999999999985</v>
      </c>
    </row>
    <row r="119" spans="1:9" x14ac:dyDescent="0.2">
      <c r="A119" t="s">
        <v>370</v>
      </c>
      <c r="B119" t="s">
        <v>371</v>
      </c>
      <c r="C119" t="s">
        <v>49</v>
      </c>
      <c r="D119" t="s">
        <v>372</v>
      </c>
      <c r="E119">
        <v>158</v>
      </c>
      <c r="F119">
        <v>5.7635046212191003</v>
      </c>
      <c r="G119">
        <v>0.08</v>
      </c>
      <c r="H119">
        <v>0.37</v>
      </c>
      <c r="I119">
        <f t="shared" si="1"/>
        <v>96.299999999999983</v>
      </c>
    </row>
    <row r="120" spans="1:9" x14ac:dyDescent="0.2">
      <c r="A120" t="s">
        <v>373</v>
      </c>
      <c r="B120" t="s">
        <v>374</v>
      </c>
      <c r="C120" t="s">
        <v>41</v>
      </c>
      <c r="D120" t="s">
        <v>375</v>
      </c>
      <c r="E120">
        <v>157</v>
      </c>
      <c r="F120">
        <v>0.38504851818906999</v>
      </c>
      <c r="G120">
        <v>0.08</v>
      </c>
      <c r="H120">
        <v>0.02</v>
      </c>
      <c r="I120">
        <f t="shared" si="1"/>
        <v>96.379999999999981</v>
      </c>
    </row>
    <row r="121" spans="1:9" x14ac:dyDescent="0.2">
      <c r="A121" t="s">
        <v>376</v>
      </c>
      <c r="B121" t="s">
        <v>377</v>
      </c>
      <c r="C121" t="s">
        <v>319</v>
      </c>
      <c r="D121" t="s">
        <v>378</v>
      </c>
      <c r="E121">
        <v>153</v>
      </c>
      <c r="F121">
        <v>4.7558254258113903</v>
      </c>
      <c r="G121">
        <v>0.08</v>
      </c>
      <c r="H121">
        <v>0.3</v>
      </c>
      <c r="I121">
        <f t="shared" si="1"/>
        <v>96.45999999999998</v>
      </c>
    </row>
    <row r="122" spans="1:9" x14ac:dyDescent="0.2">
      <c r="A122" t="s">
        <v>379</v>
      </c>
      <c r="B122" t="s">
        <v>380</v>
      </c>
      <c r="C122" t="s">
        <v>381</v>
      </c>
      <c r="D122" t="s">
        <v>382</v>
      </c>
      <c r="E122">
        <v>153</v>
      </c>
      <c r="F122">
        <v>11.267765802062099</v>
      </c>
      <c r="G122">
        <v>0.08</v>
      </c>
      <c r="H122">
        <v>0.72</v>
      </c>
      <c r="I122">
        <f t="shared" si="1"/>
        <v>96.539999999999978</v>
      </c>
    </row>
    <row r="123" spans="1:9" x14ac:dyDescent="0.2">
      <c r="A123" t="s">
        <v>383</v>
      </c>
      <c r="B123" t="s">
        <v>384</v>
      </c>
      <c r="C123" t="s">
        <v>105</v>
      </c>
      <c r="D123" t="s">
        <v>270</v>
      </c>
      <c r="E123">
        <v>153</v>
      </c>
      <c r="F123">
        <v>3.6781813912119099</v>
      </c>
      <c r="G123">
        <v>0.08</v>
      </c>
      <c r="H123">
        <v>0.23</v>
      </c>
      <c r="I123">
        <f t="shared" si="1"/>
        <v>96.619999999999976</v>
      </c>
    </row>
    <row r="124" spans="1:9" x14ac:dyDescent="0.2">
      <c r="A124" t="s">
        <v>385</v>
      </c>
      <c r="B124" t="s">
        <v>386</v>
      </c>
      <c r="C124" t="s">
        <v>200</v>
      </c>
      <c r="D124" t="s">
        <v>387</v>
      </c>
      <c r="E124">
        <v>148</v>
      </c>
      <c r="F124">
        <v>0.154657464743572</v>
      </c>
      <c r="G124">
        <v>7.0000000000000007E-2</v>
      </c>
      <c r="H124">
        <v>0.01</v>
      </c>
      <c r="I124">
        <f t="shared" si="1"/>
        <v>96.689999999999969</v>
      </c>
    </row>
    <row r="125" spans="1:9" x14ac:dyDescent="0.2">
      <c r="A125" t="s">
        <v>388</v>
      </c>
      <c r="B125" t="s">
        <v>389</v>
      </c>
      <c r="C125" t="s">
        <v>49</v>
      </c>
      <c r="D125" t="s">
        <v>112</v>
      </c>
      <c r="E125">
        <v>148</v>
      </c>
      <c r="F125">
        <v>0.49307218158275501</v>
      </c>
      <c r="G125">
        <v>7.0000000000000007E-2</v>
      </c>
      <c r="H125">
        <v>0.03</v>
      </c>
      <c r="I125">
        <f t="shared" si="1"/>
        <v>96.759999999999962</v>
      </c>
    </row>
    <row r="126" spans="1:9" x14ac:dyDescent="0.2">
      <c r="A126" t="s">
        <v>390</v>
      </c>
      <c r="B126" t="s">
        <v>391</v>
      </c>
      <c r="C126" t="s">
        <v>392</v>
      </c>
      <c r="D126" t="s">
        <v>393</v>
      </c>
      <c r="E126">
        <v>145</v>
      </c>
      <c r="F126">
        <v>0.63218661667269005</v>
      </c>
      <c r="G126">
        <v>7.0000000000000007E-2</v>
      </c>
      <c r="H126">
        <v>0.04</v>
      </c>
      <c r="I126">
        <f t="shared" si="1"/>
        <v>96.829999999999956</v>
      </c>
    </row>
    <row r="127" spans="1:9" x14ac:dyDescent="0.2">
      <c r="A127" t="s">
        <v>394</v>
      </c>
      <c r="B127" t="s">
        <v>395</v>
      </c>
      <c r="C127" t="s">
        <v>37</v>
      </c>
      <c r="D127" t="s">
        <v>396</v>
      </c>
      <c r="E127">
        <v>145</v>
      </c>
      <c r="F127">
        <v>0.92767539689138601</v>
      </c>
      <c r="G127">
        <v>7.0000000000000007E-2</v>
      </c>
      <c r="H127">
        <v>0.06</v>
      </c>
      <c r="I127">
        <f t="shared" si="1"/>
        <v>96.899999999999949</v>
      </c>
    </row>
    <row r="128" spans="1:9" x14ac:dyDescent="0.2">
      <c r="A128" t="s">
        <v>397</v>
      </c>
      <c r="B128" t="s">
        <v>398</v>
      </c>
      <c r="C128" t="s">
        <v>173</v>
      </c>
      <c r="D128" t="s">
        <v>174</v>
      </c>
      <c r="E128">
        <v>143</v>
      </c>
      <c r="F128">
        <v>21.834291210129301</v>
      </c>
      <c r="G128">
        <v>7.0000000000000007E-2</v>
      </c>
      <c r="H128">
        <v>1.39</v>
      </c>
      <c r="I128">
        <f t="shared" si="1"/>
        <v>96.969999999999942</v>
      </c>
    </row>
    <row r="129" spans="1:9" x14ac:dyDescent="0.2">
      <c r="A129" t="s">
        <v>399</v>
      </c>
      <c r="B129" t="s">
        <v>400</v>
      </c>
      <c r="C129" t="s">
        <v>364</v>
      </c>
      <c r="D129" t="s">
        <v>365</v>
      </c>
      <c r="E129">
        <v>138</v>
      </c>
      <c r="F129">
        <v>3.7613519151230501</v>
      </c>
      <c r="G129">
        <v>7.0000000000000007E-2</v>
      </c>
      <c r="H129">
        <v>0.24</v>
      </c>
      <c r="I129">
        <f t="shared" si="1"/>
        <v>97.039999999999935</v>
      </c>
    </row>
    <row r="130" spans="1:9" x14ac:dyDescent="0.2">
      <c r="A130" t="s">
        <v>401</v>
      </c>
      <c r="B130" t="s">
        <v>402</v>
      </c>
      <c r="C130" t="s">
        <v>403</v>
      </c>
      <c r="D130" t="s">
        <v>404</v>
      </c>
      <c r="E130">
        <v>130</v>
      </c>
      <c r="F130">
        <v>1.06236804032139</v>
      </c>
      <c r="G130">
        <v>0.06</v>
      </c>
      <c r="H130">
        <v>7.0000000000000007E-2</v>
      </c>
      <c r="I130">
        <f t="shared" si="1"/>
        <v>97.099999999999937</v>
      </c>
    </row>
    <row r="131" spans="1:9" x14ac:dyDescent="0.2">
      <c r="A131" t="s">
        <v>405</v>
      </c>
      <c r="B131" t="s">
        <v>406</v>
      </c>
      <c r="C131" t="s">
        <v>249</v>
      </c>
      <c r="D131" t="s">
        <v>250</v>
      </c>
      <c r="E131">
        <v>124</v>
      </c>
      <c r="F131">
        <v>0.659792576717947</v>
      </c>
      <c r="G131">
        <v>0.06</v>
      </c>
      <c r="H131">
        <v>0.04</v>
      </c>
      <c r="I131">
        <f t="shared" si="1"/>
        <v>97.15999999999994</v>
      </c>
    </row>
    <row r="132" spans="1:9" x14ac:dyDescent="0.2">
      <c r="A132" t="s">
        <v>407</v>
      </c>
      <c r="B132" t="s">
        <v>408</v>
      </c>
      <c r="C132" t="s">
        <v>122</v>
      </c>
      <c r="D132" t="s">
        <v>123</v>
      </c>
      <c r="E132">
        <v>122</v>
      </c>
      <c r="F132">
        <v>0.29064680054135</v>
      </c>
      <c r="G132">
        <v>0.06</v>
      </c>
      <c r="H132">
        <v>0.02</v>
      </c>
      <c r="I132">
        <f t="shared" si="1"/>
        <v>97.219999999999942</v>
      </c>
    </row>
    <row r="133" spans="1:9" x14ac:dyDescent="0.2">
      <c r="A133" t="s">
        <v>409</v>
      </c>
      <c r="B133" t="s">
        <v>410</v>
      </c>
      <c r="C133" t="s">
        <v>49</v>
      </c>
      <c r="D133" t="s">
        <v>411</v>
      </c>
      <c r="E133">
        <v>122</v>
      </c>
      <c r="F133">
        <v>1.12898629793893</v>
      </c>
      <c r="G133">
        <v>0.06</v>
      </c>
      <c r="H133">
        <v>7.0000000000000007E-2</v>
      </c>
      <c r="I133">
        <f t="shared" ref="I133:I196" si="2">G133+I132</f>
        <v>97.279999999999944</v>
      </c>
    </row>
    <row r="134" spans="1:9" x14ac:dyDescent="0.2">
      <c r="A134" t="s">
        <v>412</v>
      </c>
      <c r="B134" t="s">
        <v>413</v>
      </c>
      <c r="C134" t="s">
        <v>414</v>
      </c>
      <c r="D134" t="s">
        <v>415</v>
      </c>
      <c r="E134">
        <v>122</v>
      </c>
      <c r="F134">
        <v>0.57481642242916098</v>
      </c>
      <c r="G134">
        <v>0.06</v>
      </c>
      <c r="H134">
        <v>0.04</v>
      </c>
      <c r="I134">
        <f t="shared" si="2"/>
        <v>97.339999999999947</v>
      </c>
    </row>
    <row r="135" spans="1:9" x14ac:dyDescent="0.2">
      <c r="A135" t="s">
        <v>416</v>
      </c>
      <c r="B135" t="s">
        <v>417</v>
      </c>
      <c r="C135" t="s">
        <v>97</v>
      </c>
      <c r="D135" t="s">
        <v>418</v>
      </c>
      <c r="E135">
        <v>120</v>
      </c>
      <c r="F135">
        <v>1.7576621848212399</v>
      </c>
      <c r="G135">
        <v>0.06</v>
      </c>
      <c r="H135">
        <v>0.11</v>
      </c>
      <c r="I135">
        <f t="shared" si="2"/>
        <v>97.399999999999949</v>
      </c>
    </row>
    <row r="136" spans="1:9" x14ac:dyDescent="0.2">
      <c r="A136" t="s">
        <v>419</v>
      </c>
      <c r="B136" t="s">
        <v>420</v>
      </c>
      <c r="C136" t="s">
        <v>49</v>
      </c>
      <c r="D136" t="s">
        <v>411</v>
      </c>
      <c r="E136">
        <v>113</v>
      </c>
      <c r="F136">
        <v>0.94479472065895997</v>
      </c>
      <c r="G136">
        <v>0.06</v>
      </c>
      <c r="H136">
        <v>0.06</v>
      </c>
      <c r="I136">
        <f t="shared" si="2"/>
        <v>97.459999999999951</v>
      </c>
    </row>
    <row r="137" spans="1:9" x14ac:dyDescent="0.2">
      <c r="A137" t="s">
        <v>421</v>
      </c>
      <c r="B137" t="s">
        <v>422</v>
      </c>
      <c r="C137" t="s">
        <v>282</v>
      </c>
      <c r="D137" t="s">
        <v>283</v>
      </c>
      <c r="E137">
        <v>112</v>
      </c>
      <c r="F137">
        <v>7.5614208181089396E-2</v>
      </c>
      <c r="G137">
        <v>0.06</v>
      </c>
      <c r="H137">
        <v>0</v>
      </c>
      <c r="I137">
        <f t="shared" si="2"/>
        <v>97.519999999999953</v>
      </c>
    </row>
    <row r="138" spans="1:9" x14ac:dyDescent="0.2">
      <c r="A138" t="s">
        <v>423</v>
      </c>
      <c r="B138" t="s">
        <v>424</v>
      </c>
      <c r="C138" t="s">
        <v>101</v>
      </c>
      <c r="D138" t="s">
        <v>425</v>
      </c>
      <c r="E138">
        <v>112</v>
      </c>
      <c r="F138">
        <v>2.9836891382369002</v>
      </c>
      <c r="G138">
        <v>0.06</v>
      </c>
      <c r="H138">
        <v>0.19</v>
      </c>
      <c r="I138">
        <f t="shared" si="2"/>
        <v>97.579999999999956</v>
      </c>
    </row>
    <row r="139" spans="1:9" x14ac:dyDescent="0.2">
      <c r="A139" t="s">
        <v>426</v>
      </c>
      <c r="B139" t="s">
        <v>427</v>
      </c>
      <c r="C139" t="s">
        <v>299</v>
      </c>
      <c r="D139" t="s">
        <v>300</v>
      </c>
      <c r="E139">
        <v>106</v>
      </c>
      <c r="F139">
        <v>0.48091343261519898</v>
      </c>
      <c r="G139">
        <v>0.05</v>
      </c>
      <c r="H139">
        <v>0.03</v>
      </c>
      <c r="I139">
        <f t="shared" si="2"/>
        <v>97.629999999999953</v>
      </c>
    </row>
    <row r="140" spans="1:9" x14ac:dyDescent="0.2">
      <c r="A140" t="s">
        <v>428</v>
      </c>
      <c r="B140" t="s">
        <v>429</v>
      </c>
      <c r="C140" t="s">
        <v>89</v>
      </c>
      <c r="D140" t="s">
        <v>358</v>
      </c>
      <c r="E140">
        <v>106</v>
      </c>
      <c r="F140">
        <v>0.57842218539731904</v>
      </c>
      <c r="G140">
        <v>0.05</v>
      </c>
      <c r="H140">
        <v>0.04</v>
      </c>
      <c r="I140">
        <f t="shared" si="2"/>
        <v>97.67999999999995</v>
      </c>
    </row>
    <row r="141" spans="1:9" x14ac:dyDescent="0.2">
      <c r="A141" t="s">
        <v>430</v>
      </c>
      <c r="B141" t="s">
        <v>431</v>
      </c>
      <c r="C141" t="s">
        <v>79</v>
      </c>
      <c r="D141" t="s">
        <v>432</v>
      </c>
      <c r="E141">
        <v>104</v>
      </c>
      <c r="F141">
        <v>0.29262836010760201</v>
      </c>
      <c r="G141">
        <v>0.05</v>
      </c>
      <c r="H141">
        <v>0.02</v>
      </c>
      <c r="I141">
        <f t="shared" si="2"/>
        <v>97.729999999999947</v>
      </c>
    </row>
    <row r="142" spans="1:9" x14ac:dyDescent="0.2">
      <c r="A142" t="s">
        <v>433</v>
      </c>
      <c r="B142" t="s">
        <v>434</v>
      </c>
      <c r="C142" t="s">
        <v>18</v>
      </c>
      <c r="D142" t="s">
        <v>86</v>
      </c>
      <c r="E142">
        <v>103</v>
      </c>
      <c r="F142">
        <v>3.0963136640717601</v>
      </c>
      <c r="G142">
        <v>0.05</v>
      </c>
      <c r="H142">
        <v>0.2</v>
      </c>
      <c r="I142">
        <f t="shared" si="2"/>
        <v>97.779999999999944</v>
      </c>
    </row>
    <row r="143" spans="1:9" x14ac:dyDescent="0.2">
      <c r="A143" t="s">
        <v>435</v>
      </c>
      <c r="B143" t="s">
        <v>436</v>
      </c>
      <c r="C143" t="s">
        <v>14</v>
      </c>
      <c r="D143" t="s">
        <v>437</v>
      </c>
      <c r="E143">
        <v>103</v>
      </c>
      <c r="F143">
        <v>4.3643790541832803E-2</v>
      </c>
      <c r="G143">
        <v>0.05</v>
      </c>
      <c r="H143">
        <v>0</v>
      </c>
      <c r="I143">
        <f t="shared" si="2"/>
        <v>97.829999999999941</v>
      </c>
    </row>
    <row r="144" spans="1:9" x14ac:dyDescent="0.2">
      <c r="A144" t="s">
        <v>438</v>
      </c>
      <c r="B144" t="s">
        <v>439</v>
      </c>
      <c r="C144" t="s">
        <v>440</v>
      </c>
      <c r="D144" t="s">
        <v>441</v>
      </c>
      <c r="E144">
        <v>100</v>
      </c>
      <c r="F144">
        <v>2.5287543206723999</v>
      </c>
      <c r="G144">
        <v>0.05</v>
      </c>
      <c r="H144">
        <v>0.16</v>
      </c>
      <c r="I144">
        <f t="shared" si="2"/>
        <v>97.879999999999939</v>
      </c>
    </row>
    <row r="145" spans="1:9" x14ac:dyDescent="0.2">
      <c r="A145" t="s">
        <v>442</v>
      </c>
      <c r="B145" t="s">
        <v>443</v>
      </c>
      <c r="C145" t="s">
        <v>444</v>
      </c>
      <c r="D145" t="s">
        <v>445</v>
      </c>
      <c r="E145">
        <v>94</v>
      </c>
      <c r="F145">
        <v>10.809647765741399</v>
      </c>
      <c r="G145">
        <v>0.05</v>
      </c>
      <c r="H145">
        <v>0.69</v>
      </c>
      <c r="I145">
        <f t="shared" si="2"/>
        <v>97.929999999999936</v>
      </c>
    </row>
    <row r="146" spans="1:9" x14ac:dyDescent="0.2">
      <c r="A146" t="s">
        <v>446</v>
      </c>
      <c r="B146" t="s">
        <v>447</v>
      </c>
      <c r="C146" t="s">
        <v>128</v>
      </c>
      <c r="D146" t="s">
        <v>448</v>
      </c>
      <c r="E146">
        <v>93</v>
      </c>
      <c r="F146">
        <v>1.54902823129817</v>
      </c>
      <c r="G146">
        <v>0.05</v>
      </c>
      <c r="H146">
        <v>0.1</v>
      </c>
      <c r="I146">
        <f t="shared" si="2"/>
        <v>97.979999999999933</v>
      </c>
    </row>
    <row r="147" spans="1:9" x14ac:dyDescent="0.2">
      <c r="A147" t="s">
        <v>449</v>
      </c>
      <c r="B147" t="s">
        <v>450</v>
      </c>
      <c r="C147" t="s">
        <v>183</v>
      </c>
      <c r="D147" t="s">
        <v>184</v>
      </c>
      <c r="E147">
        <v>93</v>
      </c>
      <c r="F147">
        <v>0.34867437304764398</v>
      </c>
      <c r="G147">
        <v>0.05</v>
      </c>
      <c r="H147">
        <v>0.02</v>
      </c>
      <c r="I147">
        <f t="shared" si="2"/>
        <v>98.02999999999993</v>
      </c>
    </row>
    <row r="148" spans="1:9" x14ac:dyDescent="0.2">
      <c r="A148" t="s">
        <v>451</v>
      </c>
      <c r="B148" t="s">
        <v>452</v>
      </c>
      <c r="C148" t="s">
        <v>128</v>
      </c>
      <c r="D148" t="s">
        <v>453</v>
      </c>
      <c r="E148">
        <v>92</v>
      </c>
      <c r="F148">
        <v>65.584869198646601</v>
      </c>
      <c r="G148">
        <v>0.05</v>
      </c>
      <c r="H148">
        <v>4.18</v>
      </c>
      <c r="I148">
        <f t="shared" si="2"/>
        <v>98.079999999999927</v>
      </c>
    </row>
    <row r="149" spans="1:9" x14ac:dyDescent="0.2">
      <c r="A149" t="s">
        <v>454</v>
      </c>
      <c r="B149" t="s">
        <v>455</v>
      </c>
      <c r="C149" t="s">
        <v>122</v>
      </c>
      <c r="D149" t="s">
        <v>456</v>
      </c>
      <c r="E149">
        <v>91</v>
      </c>
      <c r="F149">
        <v>0.74429120892338896</v>
      </c>
      <c r="G149">
        <v>0.04</v>
      </c>
      <c r="H149">
        <v>0.05</v>
      </c>
      <c r="I149">
        <f t="shared" si="2"/>
        <v>98.119999999999933</v>
      </c>
    </row>
    <row r="150" spans="1:9" x14ac:dyDescent="0.2">
      <c r="A150" t="s">
        <v>457</v>
      </c>
      <c r="B150" t="s">
        <v>458</v>
      </c>
      <c r="C150" t="s">
        <v>14</v>
      </c>
      <c r="D150" t="s">
        <v>459</v>
      </c>
      <c r="E150">
        <v>90</v>
      </c>
      <c r="F150">
        <v>1.63514556911838</v>
      </c>
      <c r="G150">
        <v>0.04</v>
      </c>
      <c r="H150">
        <v>0.1</v>
      </c>
      <c r="I150">
        <f t="shared" si="2"/>
        <v>98.15999999999994</v>
      </c>
    </row>
    <row r="151" spans="1:9" x14ac:dyDescent="0.2">
      <c r="A151" t="s">
        <v>460</v>
      </c>
      <c r="B151" t="s">
        <v>461</v>
      </c>
      <c r="C151" t="s">
        <v>462</v>
      </c>
      <c r="D151" t="s">
        <v>463</v>
      </c>
      <c r="E151">
        <v>87</v>
      </c>
      <c r="F151">
        <v>8.0099656362160303</v>
      </c>
      <c r="G151">
        <v>0.04</v>
      </c>
      <c r="H151">
        <v>0.51</v>
      </c>
      <c r="I151">
        <f t="shared" si="2"/>
        <v>98.199999999999946</v>
      </c>
    </row>
    <row r="152" spans="1:9" x14ac:dyDescent="0.2">
      <c r="A152" t="s">
        <v>464</v>
      </c>
      <c r="B152" t="s">
        <v>465</v>
      </c>
      <c r="C152" t="s">
        <v>105</v>
      </c>
      <c r="D152" t="s">
        <v>466</v>
      </c>
      <c r="E152">
        <v>86</v>
      </c>
      <c r="F152">
        <v>0.23663889583532399</v>
      </c>
      <c r="G152">
        <v>0.04</v>
      </c>
      <c r="H152">
        <v>0.02</v>
      </c>
      <c r="I152">
        <f t="shared" si="2"/>
        <v>98.239999999999952</v>
      </c>
    </row>
    <row r="153" spans="1:9" x14ac:dyDescent="0.2">
      <c r="A153" t="s">
        <v>467</v>
      </c>
      <c r="B153" t="s">
        <v>468</v>
      </c>
      <c r="C153" t="s">
        <v>97</v>
      </c>
      <c r="D153" t="s">
        <v>313</v>
      </c>
      <c r="E153">
        <v>85</v>
      </c>
      <c r="F153">
        <v>0.465618588781197</v>
      </c>
      <c r="G153">
        <v>0.04</v>
      </c>
      <c r="H153">
        <v>0.03</v>
      </c>
      <c r="I153">
        <f t="shared" si="2"/>
        <v>98.279999999999959</v>
      </c>
    </row>
    <row r="154" spans="1:9" x14ac:dyDescent="0.2">
      <c r="A154" t="s">
        <v>469</v>
      </c>
      <c r="B154" t="s">
        <v>470</v>
      </c>
      <c r="C154" t="s">
        <v>49</v>
      </c>
      <c r="D154" t="s">
        <v>471</v>
      </c>
      <c r="E154">
        <v>85</v>
      </c>
      <c r="F154">
        <v>9.1461406835445391</v>
      </c>
      <c r="G154">
        <v>0.04</v>
      </c>
      <c r="H154">
        <v>0.57999999999999996</v>
      </c>
      <c r="I154">
        <f t="shared" si="2"/>
        <v>98.319999999999965</v>
      </c>
    </row>
    <row r="155" spans="1:9" x14ac:dyDescent="0.2">
      <c r="A155" t="s">
        <v>472</v>
      </c>
      <c r="B155" t="s">
        <v>473</v>
      </c>
      <c r="C155" t="s">
        <v>403</v>
      </c>
      <c r="D155" t="s">
        <v>474</v>
      </c>
      <c r="E155">
        <v>82</v>
      </c>
      <c r="F155">
        <v>7.3569031363602405E-2</v>
      </c>
      <c r="G155">
        <v>0.04</v>
      </c>
      <c r="H155">
        <v>0</v>
      </c>
      <c r="I155">
        <f t="shared" si="2"/>
        <v>98.359999999999971</v>
      </c>
    </row>
    <row r="156" spans="1:9" x14ac:dyDescent="0.2">
      <c r="A156" t="s">
        <v>475</v>
      </c>
      <c r="B156" t="s">
        <v>476</v>
      </c>
      <c r="C156" t="s">
        <v>22</v>
      </c>
      <c r="D156" t="s">
        <v>261</v>
      </c>
      <c r="E156">
        <v>79</v>
      </c>
      <c r="F156">
        <v>0.28214015303359202</v>
      </c>
      <c r="G156">
        <v>0.04</v>
      </c>
      <c r="H156">
        <v>0.02</v>
      </c>
      <c r="I156">
        <f t="shared" si="2"/>
        <v>98.399999999999977</v>
      </c>
    </row>
    <row r="157" spans="1:9" x14ac:dyDescent="0.2">
      <c r="A157" t="s">
        <v>477</v>
      </c>
      <c r="B157" t="s">
        <v>478</v>
      </c>
      <c r="C157" t="s">
        <v>128</v>
      </c>
      <c r="D157" t="s">
        <v>129</v>
      </c>
      <c r="E157">
        <v>78</v>
      </c>
      <c r="F157">
        <v>0.273353118381501</v>
      </c>
      <c r="G157">
        <v>0.04</v>
      </c>
      <c r="H157">
        <v>0.02</v>
      </c>
      <c r="I157">
        <f t="shared" si="2"/>
        <v>98.439999999999984</v>
      </c>
    </row>
    <row r="158" spans="1:9" x14ac:dyDescent="0.2">
      <c r="A158" t="s">
        <v>479</v>
      </c>
      <c r="B158" t="s">
        <v>480</v>
      </c>
      <c r="C158" t="s">
        <v>249</v>
      </c>
      <c r="D158" t="s">
        <v>250</v>
      </c>
      <c r="E158">
        <v>78</v>
      </c>
      <c r="F158">
        <v>2.4668735847764802</v>
      </c>
      <c r="G158">
        <v>0.04</v>
      </c>
      <c r="H158">
        <v>0.16</v>
      </c>
      <c r="I158">
        <f t="shared" si="2"/>
        <v>98.47999999999999</v>
      </c>
    </row>
    <row r="159" spans="1:9" x14ac:dyDescent="0.2">
      <c r="A159" t="s">
        <v>481</v>
      </c>
      <c r="B159" t="s">
        <v>482</v>
      </c>
      <c r="C159" t="s">
        <v>58</v>
      </c>
      <c r="D159" t="s">
        <v>483</v>
      </c>
      <c r="E159">
        <v>78</v>
      </c>
      <c r="F159">
        <v>0.163057298101108</v>
      </c>
      <c r="G159">
        <v>0.04</v>
      </c>
      <c r="H159">
        <v>0.01</v>
      </c>
      <c r="I159">
        <f t="shared" si="2"/>
        <v>98.52</v>
      </c>
    </row>
    <row r="160" spans="1:9" x14ac:dyDescent="0.2">
      <c r="A160" t="s">
        <v>484</v>
      </c>
      <c r="B160" t="s">
        <v>485</v>
      </c>
      <c r="C160" t="s">
        <v>29</v>
      </c>
      <c r="D160" t="s">
        <v>228</v>
      </c>
      <c r="E160">
        <v>77</v>
      </c>
      <c r="F160">
        <v>0.33061178608582897</v>
      </c>
      <c r="G160">
        <v>0.04</v>
      </c>
      <c r="H160">
        <v>0.02</v>
      </c>
      <c r="I160">
        <f t="shared" si="2"/>
        <v>98.56</v>
      </c>
    </row>
    <row r="161" spans="1:9" x14ac:dyDescent="0.2">
      <c r="A161" t="s">
        <v>486</v>
      </c>
      <c r="B161" t="s">
        <v>487</v>
      </c>
      <c r="C161" t="s">
        <v>122</v>
      </c>
      <c r="D161" t="s">
        <v>123</v>
      </c>
      <c r="E161">
        <v>75</v>
      </c>
      <c r="F161">
        <v>0.90704063094444498</v>
      </c>
      <c r="G161">
        <v>0.04</v>
      </c>
      <c r="H161">
        <v>0.06</v>
      </c>
      <c r="I161">
        <f t="shared" si="2"/>
        <v>98.600000000000009</v>
      </c>
    </row>
    <row r="162" spans="1:9" x14ac:dyDescent="0.2">
      <c r="A162" t="s">
        <v>488</v>
      </c>
      <c r="B162" t="s">
        <v>489</v>
      </c>
      <c r="C162" t="s">
        <v>414</v>
      </c>
      <c r="D162" t="s">
        <v>415</v>
      </c>
      <c r="E162">
        <v>75</v>
      </c>
      <c r="F162">
        <v>2.7058537525368902E-2</v>
      </c>
      <c r="G162">
        <v>0.04</v>
      </c>
      <c r="H162">
        <v>0</v>
      </c>
      <c r="I162">
        <f t="shared" si="2"/>
        <v>98.640000000000015</v>
      </c>
    </row>
    <row r="163" spans="1:9" x14ac:dyDescent="0.2">
      <c r="A163" t="s">
        <v>490</v>
      </c>
      <c r="B163" t="s">
        <v>491</v>
      </c>
      <c r="C163" t="s">
        <v>101</v>
      </c>
      <c r="D163" t="s">
        <v>492</v>
      </c>
      <c r="E163">
        <v>75</v>
      </c>
      <c r="F163">
        <v>0.10719035594232</v>
      </c>
      <c r="G163">
        <v>0.04</v>
      </c>
      <c r="H163">
        <v>0.01</v>
      </c>
      <c r="I163">
        <f t="shared" si="2"/>
        <v>98.680000000000021</v>
      </c>
    </row>
    <row r="164" spans="1:9" x14ac:dyDescent="0.2">
      <c r="A164" t="s">
        <v>493</v>
      </c>
      <c r="B164" t="s">
        <v>494</v>
      </c>
      <c r="C164" t="s">
        <v>49</v>
      </c>
      <c r="D164" t="s">
        <v>495</v>
      </c>
      <c r="E164">
        <v>74</v>
      </c>
      <c r="F164">
        <v>21.405221124881798</v>
      </c>
      <c r="G164">
        <v>0.04</v>
      </c>
      <c r="H164">
        <v>1.37</v>
      </c>
      <c r="I164">
        <f t="shared" si="2"/>
        <v>98.720000000000027</v>
      </c>
    </row>
    <row r="165" spans="1:9" x14ac:dyDescent="0.2">
      <c r="A165" t="s">
        <v>496</v>
      </c>
      <c r="B165" t="s">
        <v>497</v>
      </c>
      <c r="C165" t="s">
        <v>66</v>
      </c>
      <c r="D165" t="s">
        <v>498</v>
      </c>
      <c r="E165">
        <v>70</v>
      </c>
      <c r="F165">
        <v>7.6059780267147996</v>
      </c>
      <c r="G165">
        <v>0.03</v>
      </c>
      <c r="H165">
        <v>0.49</v>
      </c>
      <c r="I165">
        <f t="shared" si="2"/>
        <v>98.750000000000028</v>
      </c>
    </row>
    <row r="166" spans="1:9" x14ac:dyDescent="0.2">
      <c r="A166" t="s">
        <v>499</v>
      </c>
      <c r="B166" t="s">
        <v>500</v>
      </c>
      <c r="C166" t="s">
        <v>501</v>
      </c>
      <c r="D166" t="s">
        <v>502</v>
      </c>
      <c r="E166">
        <v>70</v>
      </c>
      <c r="F166">
        <v>0.79511903646581805</v>
      </c>
      <c r="G166">
        <v>0.03</v>
      </c>
      <c r="H166">
        <v>0.05</v>
      </c>
      <c r="I166">
        <f t="shared" si="2"/>
        <v>98.78000000000003</v>
      </c>
    </row>
    <row r="167" spans="1:9" x14ac:dyDescent="0.2">
      <c r="A167" t="s">
        <v>503</v>
      </c>
      <c r="B167" t="s">
        <v>504</v>
      </c>
      <c r="C167" t="s">
        <v>14</v>
      </c>
      <c r="D167" t="s">
        <v>505</v>
      </c>
      <c r="E167">
        <v>70</v>
      </c>
      <c r="F167">
        <v>0.56971369056156795</v>
      </c>
      <c r="G167">
        <v>0.03</v>
      </c>
      <c r="H167">
        <v>0.04</v>
      </c>
      <c r="I167">
        <f t="shared" si="2"/>
        <v>98.810000000000031</v>
      </c>
    </row>
    <row r="168" spans="1:9" x14ac:dyDescent="0.2">
      <c r="A168" t="s">
        <v>506</v>
      </c>
      <c r="B168" t="s">
        <v>507</v>
      </c>
      <c r="C168" t="s">
        <v>309</v>
      </c>
      <c r="D168" t="s">
        <v>508</v>
      </c>
      <c r="E168">
        <v>70</v>
      </c>
      <c r="F168">
        <v>8.2411365900377795</v>
      </c>
      <c r="G168">
        <v>0.03</v>
      </c>
      <c r="H168">
        <v>0.53</v>
      </c>
      <c r="I168">
        <f t="shared" si="2"/>
        <v>98.840000000000032</v>
      </c>
    </row>
    <row r="169" spans="1:9" x14ac:dyDescent="0.2">
      <c r="A169" t="s">
        <v>509</v>
      </c>
      <c r="B169" t="s">
        <v>510</v>
      </c>
      <c r="C169" t="s">
        <v>49</v>
      </c>
      <c r="D169" t="s">
        <v>511</v>
      </c>
      <c r="E169">
        <v>66</v>
      </c>
      <c r="F169">
        <v>1.2216295090988001</v>
      </c>
      <c r="G169">
        <v>0.03</v>
      </c>
      <c r="H169">
        <v>0.08</v>
      </c>
      <c r="I169">
        <f t="shared" si="2"/>
        <v>98.870000000000033</v>
      </c>
    </row>
    <row r="170" spans="1:9" x14ac:dyDescent="0.2">
      <c r="A170" t="s">
        <v>512</v>
      </c>
      <c r="B170" t="s">
        <v>513</v>
      </c>
      <c r="C170" t="s">
        <v>14</v>
      </c>
      <c r="D170" t="s">
        <v>115</v>
      </c>
      <c r="E170">
        <v>66</v>
      </c>
      <c r="F170">
        <v>1.07238265230288E-2</v>
      </c>
      <c r="G170">
        <v>0.03</v>
      </c>
      <c r="H170">
        <v>0</v>
      </c>
      <c r="I170">
        <f t="shared" si="2"/>
        <v>98.900000000000034</v>
      </c>
    </row>
    <row r="171" spans="1:9" x14ac:dyDescent="0.2">
      <c r="A171" t="s">
        <v>514</v>
      </c>
      <c r="B171" t="s">
        <v>515</v>
      </c>
      <c r="C171" t="s">
        <v>49</v>
      </c>
      <c r="D171" t="s">
        <v>112</v>
      </c>
      <c r="E171">
        <v>64</v>
      </c>
      <c r="F171">
        <v>0.171283558464533</v>
      </c>
      <c r="G171">
        <v>0.03</v>
      </c>
      <c r="H171">
        <v>0.01</v>
      </c>
      <c r="I171">
        <f t="shared" si="2"/>
        <v>98.930000000000035</v>
      </c>
    </row>
    <row r="172" spans="1:9" x14ac:dyDescent="0.2">
      <c r="A172" t="s">
        <v>516</v>
      </c>
      <c r="B172" t="s">
        <v>517</v>
      </c>
      <c r="C172" t="s">
        <v>66</v>
      </c>
      <c r="D172" t="s">
        <v>518</v>
      </c>
      <c r="E172">
        <v>62</v>
      </c>
      <c r="F172">
        <v>8.5808589948190193</v>
      </c>
      <c r="G172">
        <v>0.03</v>
      </c>
      <c r="H172">
        <v>0.55000000000000004</v>
      </c>
      <c r="I172">
        <f t="shared" si="2"/>
        <v>98.960000000000036</v>
      </c>
    </row>
    <row r="173" spans="1:9" x14ac:dyDescent="0.2">
      <c r="A173" t="s">
        <v>519</v>
      </c>
      <c r="B173" t="s">
        <v>520</v>
      </c>
      <c r="C173" t="s">
        <v>14</v>
      </c>
      <c r="D173" t="s">
        <v>521</v>
      </c>
      <c r="E173">
        <v>59</v>
      </c>
      <c r="F173">
        <v>1.1920836155899499</v>
      </c>
      <c r="G173">
        <v>0.03</v>
      </c>
      <c r="H173">
        <v>0.08</v>
      </c>
      <c r="I173">
        <f t="shared" si="2"/>
        <v>98.990000000000038</v>
      </c>
    </row>
    <row r="174" spans="1:9" x14ac:dyDescent="0.2">
      <c r="A174" t="s">
        <v>522</v>
      </c>
      <c r="B174" t="s">
        <v>523</v>
      </c>
      <c r="C174" t="s">
        <v>462</v>
      </c>
      <c r="D174" t="s">
        <v>463</v>
      </c>
      <c r="E174">
        <v>58</v>
      </c>
      <c r="F174">
        <v>3.5569049192090598</v>
      </c>
      <c r="G174">
        <v>0.03</v>
      </c>
      <c r="H174">
        <v>0.23</v>
      </c>
      <c r="I174">
        <f t="shared" si="2"/>
        <v>99.020000000000039</v>
      </c>
    </row>
    <row r="175" spans="1:9" x14ac:dyDescent="0.2">
      <c r="A175" t="s">
        <v>524</v>
      </c>
      <c r="B175" t="s">
        <v>525</v>
      </c>
      <c r="C175" t="s">
        <v>33</v>
      </c>
      <c r="D175" t="s">
        <v>526</v>
      </c>
      <c r="E175">
        <v>58</v>
      </c>
      <c r="F175">
        <v>4.7670990310487902</v>
      </c>
      <c r="G175">
        <v>0.03</v>
      </c>
      <c r="H175">
        <v>0.3</v>
      </c>
      <c r="I175">
        <f t="shared" si="2"/>
        <v>99.05000000000004</v>
      </c>
    </row>
    <row r="176" spans="1:9" x14ac:dyDescent="0.2">
      <c r="A176" t="s">
        <v>527</v>
      </c>
      <c r="B176" t="s">
        <v>528</v>
      </c>
      <c r="C176" t="s">
        <v>66</v>
      </c>
      <c r="D176" t="s">
        <v>529</v>
      </c>
      <c r="E176">
        <v>54</v>
      </c>
      <c r="F176">
        <v>51.471561082900202</v>
      </c>
      <c r="G176">
        <v>0.03</v>
      </c>
      <c r="H176">
        <v>3.28</v>
      </c>
      <c r="I176">
        <f t="shared" si="2"/>
        <v>99.080000000000041</v>
      </c>
    </row>
    <row r="177" spans="1:9" x14ac:dyDescent="0.2">
      <c r="A177" t="s">
        <v>530</v>
      </c>
      <c r="B177" t="s">
        <v>531</v>
      </c>
      <c r="C177" t="s">
        <v>105</v>
      </c>
      <c r="D177" t="s">
        <v>532</v>
      </c>
      <c r="E177">
        <v>54</v>
      </c>
      <c r="F177">
        <v>2.1703025258886202</v>
      </c>
      <c r="G177">
        <v>0.03</v>
      </c>
      <c r="H177">
        <v>0.14000000000000001</v>
      </c>
      <c r="I177">
        <f t="shared" si="2"/>
        <v>99.110000000000042</v>
      </c>
    </row>
    <row r="178" spans="1:9" x14ac:dyDescent="0.2">
      <c r="A178" t="s">
        <v>533</v>
      </c>
      <c r="B178" t="s">
        <v>534</v>
      </c>
      <c r="C178" t="s">
        <v>66</v>
      </c>
      <c r="D178" t="s">
        <v>535</v>
      </c>
      <c r="E178">
        <v>53</v>
      </c>
      <c r="F178">
        <v>1.45218549615861</v>
      </c>
      <c r="G178">
        <v>0.03</v>
      </c>
      <c r="H178">
        <v>0.09</v>
      </c>
      <c r="I178">
        <f t="shared" si="2"/>
        <v>99.140000000000043</v>
      </c>
    </row>
    <row r="179" spans="1:9" x14ac:dyDescent="0.2">
      <c r="A179" t="s">
        <v>536</v>
      </c>
      <c r="B179" t="s">
        <v>537</v>
      </c>
      <c r="C179" t="s">
        <v>49</v>
      </c>
      <c r="D179" t="s">
        <v>112</v>
      </c>
      <c r="E179">
        <v>53</v>
      </c>
      <c r="F179">
        <v>0.51356007807314097</v>
      </c>
      <c r="G179">
        <v>0.03</v>
      </c>
      <c r="H179">
        <v>0.03</v>
      </c>
      <c r="I179">
        <f t="shared" si="2"/>
        <v>99.170000000000044</v>
      </c>
    </row>
    <row r="180" spans="1:9" x14ac:dyDescent="0.2">
      <c r="A180" t="s">
        <v>538</v>
      </c>
      <c r="B180" t="s">
        <v>539</v>
      </c>
      <c r="C180" t="s">
        <v>169</v>
      </c>
      <c r="D180" t="s">
        <v>170</v>
      </c>
      <c r="E180">
        <v>53</v>
      </c>
      <c r="F180">
        <v>0.94178664569314796</v>
      </c>
      <c r="G180">
        <v>0.03</v>
      </c>
      <c r="H180">
        <v>0.06</v>
      </c>
      <c r="I180">
        <f t="shared" si="2"/>
        <v>99.200000000000045</v>
      </c>
    </row>
    <row r="181" spans="1:9" x14ac:dyDescent="0.2">
      <c r="A181" t="s">
        <v>540</v>
      </c>
      <c r="B181" t="s">
        <v>541</v>
      </c>
      <c r="C181" t="s">
        <v>542</v>
      </c>
      <c r="D181" t="s">
        <v>543</v>
      </c>
      <c r="E181">
        <v>52</v>
      </c>
      <c r="F181">
        <v>3.3932420791239699</v>
      </c>
      <c r="G181">
        <v>0.03</v>
      </c>
      <c r="H181">
        <v>0.22</v>
      </c>
      <c r="I181">
        <f t="shared" si="2"/>
        <v>99.230000000000047</v>
      </c>
    </row>
    <row r="182" spans="1:9" x14ac:dyDescent="0.2">
      <c r="A182" t="s">
        <v>544</v>
      </c>
      <c r="B182" t="s">
        <v>545</v>
      </c>
      <c r="C182" t="s">
        <v>58</v>
      </c>
      <c r="D182" t="s">
        <v>546</v>
      </c>
      <c r="E182">
        <v>52</v>
      </c>
      <c r="F182">
        <v>0.19223955226030301</v>
      </c>
      <c r="G182">
        <v>0.03</v>
      </c>
      <c r="H182">
        <v>0.01</v>
      </c>
      <c r="I182">
        <f t="shared" si="2"/>
        <v>99.260000000000048</v>
      </c>
    </row>
    <row r="183" spans="1:9" x14ac:dyDescent="0.2">
      <c r="A183" t="s">
        <v>547</v>
      </c>
      <c r="B183" t="s">
        <v>548</v>
      </c>
      <c r="C183" t="s">
        <v>381</v>
      </c>
      <c r="D183" t="s">
        <v>549</v>
      </c>
      <c r="E183">
        <v>51</v>
      </c>
      <c r="F183">
        <v>1.19388374818046E-2</v>
      </c>
      <c r="G183">
        <v>0.03</v>
      </c>
      <c r="H183">
        <v>0</v>
      </c>
      <c r="I183">
        <f t="shared" si="2"/>
        <v>99.290000000000049</v>
      </c>
    </row>
    <row r="184" spans="1:9" x14ac:dyDescent="0.2">
      <c r="A184" t="s">
        <v>550</v>
      </c>
      <c r="B184" t="s">
        <v>551</v>
      </c>
      <c r="C184" t="s">
        <v>49</v>
      </c>
      <c r="D184" t="s">
        <v>112</v>
      </c>
      <c r="E184">
        <v>50</v>
      </c>
      <c r="F184">
        <v>0.53833939012832999</v>
      </c>
      <c r="G184">
        <v>0.02</v>
      </c>
      <c r="H184">
        <v>0.03</v>
      </c>
      <c r="I184">
        <f t="shared" si="2"/>
        <v>99.310000000000045</v>
      </c>
    </row>
    <row r="185" spans="1:9" x14ac:dyDescent="0.2">
      <c r="A185" t="s">
        <v>552</v>
      </c>
      <c r="B185" t="s">
        <v>553</v>
      </c>
      <c r="C185" t="s">
        <v>364</v>
      </c>
      <c r="D185" t="s">
        <v>365</v>
      </c>
      <c r="E185">
        <v>50</v>
      </c>
      <c r="F185">
        <v>0.93115078376441995</v>
      </c>
      <c r="G185">
        <v>0.02</v>
      </c>
      <c r="H185">
        <v>0.06</v>
      </c>
      <c r="I185">
        <f t="shared" si="2"/>
        <v>99.330000000000041</v>
      </c>
    </row>
    <row r="186" spans="1:9" x14ac:dyDescent="0.2">
      <c r="A186" t="s">
        <v>554</v>
      </c>
      <c r="B186" t="s">
        <v>555</v>
      </c>
      <c r="C186" t="s">
        <v>49</v>
      </c>
      <c r="D186" t="s">
        <v>556</v>
      </c>
      <c r="E186">
        <v>47</v>
      </c>
      <c r="F186">
        <v>0.288044776426014</v>
      </c>
      <c r="G186">
        <v>0.02</v>
      </c>
      <c r="H186">
        <v>0.02</v>
      </c>
      <c r="I186">
        <f t="shared" si="2"/>
        <v>99.350000000000037</v>
      </c>
    </row>
    <row r="187" spans="1:9" x14ac:dyDescent="0.2">
      <c r="A187" t="s">
        <v>557</v>
      </c>
      <c r="B187" t="s">
        <v>558</v>
      </c>
      <c r="C187" t="s">
        <v>49</v>
      </c>
      <c r="D187" t="s">
        <v>559</v>
      </c>
      <c r="E187">
        <v>42</v>
      </c>
      <c r="F187">
        <v>0.14907171300548899</v>
      </c>
      <c r="G187">
        <v>0.02</v>
      </c>
      <c r="H187">
        <v>0.01</v>
      </c>
      <c r="I187">
        <f t="shared" si="2"/>
        <v>99.370000000000033</v>
      </c>
    </row>
    <row r="188" spans="1:9" x14ac:dyDescent="0.2">
      <c r="A188" t="s">
        <v>560</v>
      </c>
      <c r="B188" t="s">
        <v>561</v>
      </c>
      <c r="C188" t="s">
        <v>29</v>
      </c>
      <c r="D188" t="s">
        <v>228</v>
      </c>
      <c r="E188">
        <v>40</v>
      </c>
      <c r="F188">
        <v>1.1890142795674E-2</v>
      </c>
      <c r="G188">
        <v>0.02</v>
      </c>
      <c r="H188">
        <v>0</v>
      </c>
      <c r="I188">
        <f t="shared" si="2"/>
        <v>99.390000000000029</v>
      </c>
    </row>
    <row r="189" spans="1:9" x14ac:dyDescent="0.2">
      <c r="A189" t="s">
        <v>562</v>
      </c>
      <c r="B189" t="s">
        <v>563</v>
      </c>
      <c r="C189" t="s">
        <v>564</v>
      </c>
      <c r="D189" t="s">
        <v>565</v>
      </c>
      <c r="E189">
        <v>38</v>
      </c>
      <c r="F189">
        <v>1.03460500064346E-2</v>
      </c>
      <c r="G189">
        <v>0.02</v>
      </c>
      <c r="H189">
        <v>0</v>
      </c>
      <c r="I189">
        <f t="shared" si="2"/>
        <v>99.410000000000025</v>
      </c>
    </row>
    <row r="190" spans="1:9" x14ac:dyDescent="0.2">
      <c r="A190" t="s">
        <v>566</v>
      </c>
      <c r="B190" t="s">
        <v>567</v>
      </c>
      <c r="C190" t="s">
        <v>14</v>
      </c>
      <c r="D190" t="s">
        <v>115</v>
      </c>
      <c r="E190">
        <v>38</v>
      </c>
      <c r="F190">
        <v>9.9596341100430408E-3</v>
      </c>
      <c r="G190">
        <v>0.02</v>
      </c>
      <c r="H190">
        <v>0</v>
      </c>
      <c r="I190">
        <f t="shared" si="2"/>
        <v>99.430000000000021</v>
      </c>
    </row>
    <row r="191" spans="1:9" x14ac:dyDescent="0.2">
      <c r="A191" t="s">
        <v>568</v>
      </c>
      <c r="B191" t="s">
        <v>569</v>
      </c>
      <c r="C191" t="s">
        <v>29</v>
      </c>
      <c r="D191" t="s">
        <v>228</v>
      </c>
      <c r="E191">
        <v>37</v>
      </c>
      <c r="F191">
        <v>8.2309727524052592E-3</v>
      </c>
      <c r="G191">
        <v>0.02</v>
      </c>
      <c r="H191">
        <v>0</v>
      </c>
      <c r="I191">
        <f t="shared" si="2"/>
        <v>99.450000000000017</v>
      </c>
    </row>
    <row r="192" spans="1:9" x14ac:dyDescent="0.2">
      <c r="A192" t="s">
        <v>570</v>
      </c>
      <c r="B192" t="s">
        <v>571</v>
      </c>
      <c r="C192" t="s">
        <v>572</v>
      </c>
      <c r="D192" t="s">
        <v>573</v>
      </c>
      <c r="E192">
        <v>37</v>
      </c>
      <c r="F192">
        <v>7.5084849818959395E-2</v>
      </c>
      <c r="G192">
        <v>0.02</v>
      </c>
      <c r="H192">
        <v>0</v>
      </c>
      <c r="I192">
        <f t="shared" si="2"/>
        <v>99.470000000000013</v>
      </c>
    </row>
    <row r="193" spans="1:9" x14ac:dyDescent="0.2">
      <c r="A193" t="s">
        <v>574</v>
      </c>
      <c r="B193" t="s">
        <v>575</v>
      </c>
      <c r="C193" t="s">
        <v>576</v>
      </c>
      <c r="D193" t="s">
        <v>577</v>
      </c>
      <c r="E193">
        <v>36</v>
      </c>
      <c r="F193">
        <v>1.9331256323113699</v>
      </c>
      <c r="G193">
        <v>0.02</v>
      </c>
      <c r="H193">
        <v>0.12</v>
      </c>
      <c r="I193">
        <f t="shared" si="2"/>
        <v>99.490000000000009</v>
      </c>
    </row>
    <row r="194" spans="1:9" x14ac:dyDescent="0.2">
      <c r="A194" t="s">
        <v>578</v>
      </c>
      <c r="B194" t="s">
        <v>579</v>
      </c>
      <c r="C194" t="s">
        <v>14</v>
      </c>
      <c r="D194" t="s">
        <v>160</v>
      </c>
      <c r="E194">
        <v>34</v>
      </c>
      <c r="F194">
        <v>4.0799078394007302E-2</v>
      </c>
      <c r="G194">
        <v>0.02</v>
      </c>
      <c r="H194">
        <v>0</v>
      </c>
      <c r="I194">
        <f t="shared" si="2"/>
        <v>99.51</v>
      </c>
    </row>
    <row r="195" spans="1:9" x14ac:dyDescent="0.2">
      <c r="A195" t="s">
        <v>580</v>
      </c>
      <c r="B195" t="s">
        <v>581</v>
      </c>
      <c r="C195" t="s">
        <v>249</v>
      </c>
      <c r="D195" t="s">
        <v>250</v>
      </c>
      <c r="E195">
        <v>33</v>
      </c>
      <c r="F195">
        <v>1.50667092294799</v>
      </c>
      <c r="G195">
        <v>0.02</v>
      </c>
      <c r="H195">
        <v>0.1</v>
      </c>
      <c r="I195">
        <f t="shared" si="2"/>
        <v>99.53</v>
      </c>
    </row>
    <row r="196" spans="1:9" x14ac:dyDescent="0.2">
      <c r="A196" t="s">
        <v>582</v>
      </c>
      <c r="B196" t="s">
        <v>583</v>
      </c>
      <c r="C196" t="s">
        <v>584</v>
      </c>
      <c r="D196" t="s">
        <v>585</v>
      </c>
      <c r="E196">
        <v>33</v>
      </c>
      <c r="F196">
        <v>1.17175201333408</v>
      </c>
      <c r="G196">
        <v>0.02</v>
      </c>
      <c r="H196">
        <v>7.0000000000000007E-2</v>
      </c>
      <c r="I196">
        <f t="shared" si="2"/>
        <v>99.55</v>
      </c>
    </row>
    <row r="197" spans="1:9" x14ac:dyDescent="0.2">
      <c r="A197" t="s">
        <v>586</v>
      </c>
      <c r="B197" t="s">
        <v>587</v>
      </c>
      <c r="C197" t="s">
        <v>66</v>
      </c>
      <c r="D197" t="s">
        <v>588</v>
      </c>
      <c r="E197">
        <v>32</v>
      </c>
      <c r="F197">
        <v>32.021805455689503</v>
      </c>
      <c r="G197">
        <v>0.02</v>
      </c>
      <c r="H197">
        <v>2.04</v>
      </c>
      <c r="I197">
        <f t="shared" ref="I197:I260" si="3">G197+I196</f>
        <v>99.57</v>
      </c>
    </row>
    <row r="198" spans="1:9" x14ac:dyDescent="0.2">
      <c r="A198" t="s">
        <v>589</v>
      </c>
      <c r="B198" t="s">
        <v>590</v>
      </c>
      <c r="C198" t="s">
        <v>66</v>
      </c>
      <c r="D198" t="s">
        <v>335</v>
      </c>
      <c r="E198">
        <v>31</v>
      </c>
      <c r="F198">
        <v>0.98801361079439498</v>
      </c>
      <c r="G198">
        <v>0.02</v>
      </c>
      <c r="H198">
        <v>0.06</v>
      </c>
      <c r="I198">
        <f t="shared" si="3"/>
        <v>99.589999999999989</v>
      </c>
    </row>
    <row r="199" spans="1:9" x14ac:dyDescent="0.2">
      <c r="A199" t="s">
        <v>591</v>
      </c>
      <c r="B199" t="s">
        <v>592</v>
      </c>
      <c r="C199" t="s">
        <v>414</v>
      </c>
      <c r="D199" t="s">
        <v>415</v>
      </c>
      <c r="E199">
        <v>31</v>
      </c>
      <c r="F199">
        <v>1.7102045007979402E-2</v>
      </c>
      <c r="G199">
        <v>0.02</v>
      </c>
      <c r="H199">
        <v>0</v>
      </c>
      <c r="I199">
        <f t="shared" si="3"/>
        <v>99.609999999999985</v>
      </c>
    </row>
    <row r="200" spans="1:9" x14ac:dyDescent="0.2">
      <c r="A200" t="s">
        <v>593</v>
      </c>
      <c r="B200" t="s">
        <v>594</v>
      </c>
      <c r="C200" t="s">
        <v>97</v>
      </c>
      <c r="D200" t="s">
        <v>595</v>
      </c>
      <c r="E200">
        <v>31</v>
      </c>
      <c r="F200">
        <v>3.43783070365637</v>
      </c>
      <c r="G200">
        <v>0.02</v>
      </c>
      <c r="H200">
        <v>0.22</v>
      </c>
      <c r="I200">
        <f t="shared" si="3"/>
        <v>99.629999999999981</v>
      </c>
    </row>
    <row r="201" spans="1:9" x14ac:dyDescent="0.2">
      <c r="A201" t="s">
        <v>596</v>
      </c>
      <c r="B201" t="s">
        <v>597</v>
      </c>
      <c r="C201" t="s">
        <v>173</v>
      </c>
      <c r="D201" t="s">
        <v>174</v>
      </c>
      <c r="E201">
        <v>31</v>
      </c>
      <c r="F201">
        <v>2.0274708012913201</v>
      </c>
      <c r="G201">
        <v>0.02</v>
      </c>
      <c r="H201">
        <v>0.13</v>
      </c>
      <c r="I201">
        <f t="shared" si="3"/>
        <v>99.649999999999977</v>
      </c>
    </row>
    <row r="202" spans="1:9" x14ac:dyDescent="0.2">
      <c r="A202" t="s">
        <v>598</v>
      </c>
      <c r="B202" t="s">
        <v>599</v>
      </c>
      <c r="C202" t="s">
        <v>66</v>
      </c>
      <c r="D202" t="s">
        <v>600</v>
      </c>
      <c r="E202">
        <v>28</v>
      </c>
      <c r="F202">
        <v>4.8475340131568103</v>
      </c>
      <c r="G202">
        <v>0.01</v>
      </c>
      <c r="H202">
        <v>0.31</v>
      </c>
      <c r="I202">
        <f t="shared" si="3"/>
        <v>99.659999999999982</v>
      </c>
    </row>
    <row r="203" spans="1:9" x14ac:dyDescent="0.2">
      <c r="A203" t="s">
        <v>601</v>
      </c>
      <c r="B203" t="s">
        <v>602</v>
      </c>
      <c r="C203" t="s">
        <v>14</v>
      </c>
      <c r="D203" t="s">
        <v>160</v>
      </c>
      <c r="E203">
        <v>28</v>
      </c>
      <c r="F203">
        <v>8.1280855930001908E-3</v>
      </c>
      <c r="G203">
        <v>0.01</v>
      </c>
      <c r="H203">
        <v>0</v>
      </c>
      <c r="I203">
        <f t="shared" si="3"/>
        <v>99.669999999999987</v>
      </c>
    </row>
    <row r="204" spans="1:9" x14ac:dyDescent="0.2">
      <c r="A204" t="s">
        <v>603</v>
      </c>
      <c r="B204" t="s">
        <v>604</v>
      </c>
      <c r="C204" t="s">
        <v>33</v>
      </c>
      <c r="D204" t="s">
        <v>34</v>
      </c>
      <c r="E204">
        <v>27</v>
      </c>
      <c r="F204">
        <v>2.36145665788711E-2</v>
      </c>
      <c r="G204">
        <v>0.01</v>
      </c>
      <c r="H204">
        <v>0</v>
      </c>
      <c r="I204">
        <f t="shared" si="3"/>
        <v>99.679999999999993</v>
      </c>
    </row>
    <row r="205" spans="1:9" x14ac:dyDescent="0.2">
      <c r="A205" t="s">
        <v>605</v>
      </c>
      <c r="B205" t="s">
        <v>606</v>
      </c>
      <c r="C205" t="s">
        <v>14</v>
      </c>
      <c r="D205" t="s">
        <v>160</v>
      </c>
      <c r="E205">
        <v>27</v>
      </c>
      <c r="F205">
        <v>5.6690039434027801E-3</v>
      </c>
      <c r="G205">
        <v>0.01</v>
      </c>
      <c r="H205">
        <v>0</v>
      </c>
      <c r="I205">
        <f t="shared" si="3"/>
        <v>99.69</v>
      </c>
    </row>
    <row r="206" spans="1:9" x14ac:dyDescent="0.2">
      <c r="A206" t="s">
        <v>607</v>
      </c>
      <c r="B206" t="s">
        <v>608</v>
      </c>
      <c r="C206" t="s">
        <v>609</v>
      </c>
      <c r="D206" t="s">
        <v>610</v>
      </c>
      <c r="E206">
        <v>27</v>
      </c>
      <c r="F206">
        <v>1.07484409014696</v>
      </c>
      <c r="G206">
        <v>0.01</v>
      </c>
      <c r="H206">
        <v>7.0000000000000007E-2</v>
      </c>
      <c r="I206">
        <f t="shared" si="3"/>
        <v>99.7</v>
      </c>
    </row>
    <row r="207" spans="1:9" x14ac:dyDescent="0.2">
      <c r="A207" t="s">
        <v>611</v>
      </c>
      <c r="B207" t="s">
        <v>612</v>
      </c>
      <c r="C207" t="s">
        <v>204</v>
      </c>
      <c r="D207" t="s">
        <v>205</v>
      </c>
      <c r="E207">
        <v>26</v>
      </c>
      <c r="F207">
        <v>0.23936972524945699</v>
      </c>
      <c r="G207">
        <v>0.01</v>
      </c>
      <c r="H207">
        <v>0.02</v>
      </c>
      <c r="I207">
        <f t="shared" si="3"/>
        <v>99.710000000000008</v>
      </c>
    </row>
    <row r="208" spans="1:9" x14ac:dyDescent="0.2">
      <c r="A208" t="s">
        <v>613</v>
      </c>
      <c r="B208" t="s">
        <v>614</v>
      </c>
      <c r="C208" t="s">
        <v>440</v>
      </c>
      <c r="D208" t="s">
        <v>615</v>
      </c>
      <c r="E208">
        <v>26</v>
      </c>
      <c r="F208">
        <v>3.3655858535962602</v>
      </c>
      <c r="G208">
        <v>0.01</v>
      </c>
      <c r="H208">
        <v>0.21</v>
      </c>
      <c r="I208">
        <f t="shared" si="3"/>
        <v>99.720000000000013</v>
      </c>
    </row>
    <row r="209" spans="1:9" x14ac:dyDescent="0.2">
      <c r="A209" t="s">
        <v>616</v>
      </c>
      <c r="B209" t="s">
        <v>617</v>
      </c>
      <c r="C209" t="s">
        <v>128</v>
      </c>
      <c r="D209" t="s">
        <v>618</v>
      </c>
      <c r="E209">
        <v>25</v>
      </c>
      <c r="F209">
        <v>1.24246140998476</v>
      </c>
      <c r="G209">
        <v>0.01</v>
      </c>
      <c r="H209">
        <v>0.08</v>
      </c>
      <c r="I209">
        <f t="shared" si="3"/>
        <v>99.730000000000018</v>
      </c>
    </row>
    <row r="210" spans="1:9" x14ac:dyDescent="0.2">
      <c r="A210" t="s">
        <v>619</v>
      </c>
      <c r="B210" t="s">
        <v>620</v>
      </c>
      <c r="C210" t="s">
        <v>249</v>
      </c>
      <c r="D210" t="s">
        <v>250</v>
      </c>
      <c r="E210">
        <v>25</v>
      </c>
      <c r="F210">
        <v>0.32994733923959502</v>
      </c>
      <c r="G210">
        <v>0.01</v>
      </c>
      <c r="H210">
        <v>0.02</v>
      </c>
      <c r="I210">
        <f t="shared" si="3"/>
        <v>99.740000000000023</v>
      </c>
    </row>
    <row r="211" spans="1:9" x14ac:dyDescent="0.2">
      <c r="A211" t="s">
        <v>621</v>
      </c>
      <c r="B211" t="s">
        <v>622</v>
      </c>
      <c r="C211" t="s">
        <v>623</v>
      </c>
      <c r="D211" t="s">
        <v>624</v>
      </c>
      <c r="E211">
        <v>23</v>
      </c>
      <c r="F211">
        <v>0.22838750273067099</v>
      </c>
      <c r="G211">
        <v>0.01</v>
      </c>
      <c r="H211">
        <v>0.01</v>
      </c>
      <c r="I211">
        <f t="shared" si="3"/>
        <v>99.750000000000028</v>
      </c>
    </row>
    <row r="212" spans="1:9" x14ac:dyDescent="0.2">
      <c r="A212" t="s">
        <v>625</v>
      </c>
      <c r="B212" t="s">
        <v>626</v>
      </c>
      <c r="C212" t="s">
        <v>97</v>
      </c>
      <c r="D212" t="s">
        <v>627</v>
      </c>
      <c r="E212">
        <v>23</v>
      </c>
      <c r="F212">
        <v>3.2027578917588602</v>
      </c>
      <c r="G212">
        <v>0.01</v>
      </c>
      <c r="H212">
        <v>0.2</v>
      </c>
      <c r="I212">
        <f t="shared" si="3"/>
        <v>99.760000000000034</v>
      </c>
    </row>
    <row r="213" spans="1:9" x14ac:dyDescent="0.2">
      <c r="A213" t="s">
        <v>628</v>
      </c>
      <c r="B213" t="s">
        <v>629</v>
      </c>
      <c r="C213" t="s">
        <v>319</v>
      </c>
      <c r="D213" t="s">
        <v>630</v>
      </c>
      <c r="E213">
        <v>22</v>
      </c>
      <c r="F213">
        <v>29.1758555203584</v>
      </c>
      <c r="G213">
        <v>0.01</v>
      </c>
      <c r="H213">
        <v>1.86</v>
      </c>
      <c r="I213">
        <f t="shared" si="3"/>
        <v>99.770000000000039</v>
      </c>
    </row>
    <row r="214" spans="1:9" x14ac:dyDescent="0.2">
      <c r="A214" t="s">
        <v>631</v>
      </c>
      <c r="B214" t="s">
        <v>632</v>
      </c>
      <c r="C214" t="s">
        <v>249</v>
      </c>
      <c r="D214" t="s">
        <v>633</v>
      </c>
      <c r="E214">
        <v>22</v>
      </c>
      <c r="F214">
        <v>7.4062261410216004E-2</v>
      </c>
      <c r="G214">
        <v>0.01</v>
      </c>
      <c r="H214">
        <v>0</v>
      </c>
      <c r="I214">
        <f t="shared" si="3"/>
        <v>99.780000000000044</v>
      </c>
    </row>
    <row r="215" spans="1:9" x14ac:dyDescent="0.2">
      <c r="A215" t="s">
        <v>634</v>
      </c>
      <c r="B215" t="s">
        <v>635</v>
      </c>
      <c r="C215" t="s">
        <v>122</v>
      </c>
      <c r="D215" t="s">
        <v>123</v>
      </c>
      <c r="E215">
        <v>21</v>
      </c>
      <c r="F215">
        <v>6.18925168683725E-2</v>
      </c>
      <c r="G215">
        <v>0.01</v>
      </c>
      <c r="H215">
        <v>0</v>
      </c>
      <c r="I215">
        <f t="shared" si="3"/>
        <v>99.790000000000049</v>
      </c>
    </row>
    <row r="216" spans="1:9" x14ac:dyDescent="0.2">
      <c r="A216" t="s">
        <v>636</v>
      </c>
      <c r="B216" t="s">
        <v>637</v>
      </c>
      <c r="C216" t="s">
        <v>62</v>
      </c>
      <c r="D216" t="s">
        <v>638</v>
      </c>
      <c r="E216">
        <v>21</v>
      </c>
      <c r="F216">
        <v>0.157464477779554</v>
      </c>
      <c r="G216">
        <v>0.01</v>
      </c>
      <c r="H216">
        <v>0.01</v>
      </c>
      <c r="I216">
        <f t="shared" si="3"/>
        <v>99.800000000000054</v>
      </c>
    </row>
    <row r="217" spans="1:9" x14ac:dyDescent="0.2">
      <c r="A217" t="s">
        <v>639</v>
      </c>
      <c r="B217" t="s">
        <v>640</v>
      </c>
      <c r="C217" t="s">
        <v>414</v>
      </c>
      <c r="D217" t="s">
        <v>415</v>
      </c>
      <c r="E217">
        <v>21</v>
      </c>
      <c r="F217">
        <v>6.0142649760322998E-2</v>
      </c>
      <c r="G217">
        <v>0.01</v>
      </c>
      <c r="H217">
        <v>0</v>
      </c>
      <c r="I217">
        <f t="shared" si="3"/>
        <v>99.810000000000059</v>
      </c>
    </row>
    <row r="218" spans="1:9" x14ac:dyDescent="0.2">
      <c r="A218" t="s">
        <v>641</v>
      </c>
      <c r="B218" t="s">
        <v>642</v>
      </c>
      <c r="C218" t="s">
        <v>249</v>
      </c>
      <c r="D218" t="s">
        <v>643</v>
      </c>
      <c r="E218">
        <v>21</v>
      </c>
      <c r="F218">
        <v>4.6878060178703503E-2</v>
      </c>
      <c r="G218">
        <v>0.01</v>
      </c>
      <c r="H218">
        <v>0</v>
      </c>
      <c r="I218">
        <f t="shared" si="3"/>
        <v>99.820000000000064</v>
      </c>
    </row>
    <row r="219" spans="1:9" x14ac:dyDescent="0.2">
      <c r="A219" t="s">
        <v>644</v>
      </c>
      <c r="B219" t="s">
        <v>645</v>
      </c>
      <c r="C219" t="s">
        <v>200</v>
      </c>
      <c r="D219" t="s">
        <v>387</v>
      </c>
      <c r="E219">
        <v>20</v>
      </c>
      <c r="F219">
        <v>7.2649330114264001E-3</v>
      </c>
      <c r="G219">
        <v>0.01</v>
      </c>
      <c r="H219">
        <v>0</v>
      </c>
      <c r="I219">
        <f t="shared" si="3"/>
        <v>99.830000000000069</v>
      </c>
    </row>
    <row r="220" spans="1:9" x14ac:dyDescent="0.2">
      <c r="A220" t="s">
        <v>646</v>
      </c>
      <c r="B220" t="s">
        <v>647</v>
      </c>
      <c r="C220" t="s">
        <v>66</v>
      </c>
      <c r="D220" t="s">
        <v>648</v>
      </c>
      <c r="E220">
        <v>20</v>
      </c>
      <c r="F220">
        <v>0.91640179165397895</v>
      </c>
      <c r="G220">
        <v>0.01</v>
      </c>
      <c r="H220">
        <v>0.06</v>
      </c>
      <c r="I220">
        <f t="shared" si="3"/>
        <v>99.840000000000074</v>
      </c>
    </row>
    <row r="221" spans="1:9" x14ac:dyDescent="0.2">
      <c r="A221" t="s">
        <v>649</v>
      </c>
      <c r="B221" t="s">
        <v>650</v>
      </c>
      <c r="C221" t="s">
        <v>14</v>
      </c>
      <c r="D221" t="s">
        <v>160</v>
      </c>
      <c r="E221">
        <v>20</v>
      </c>
      <c r="F221">
        <v>5.0273336439070702E-3</v>
      </c>
      <c r="G221">
        <v>0.01</v>
      </c>
      <c r="H221">
        <v>0</v>
      </c>
      <c r="I221">
        <f t="shared" si="3"/>
        <v>99.85000000000008</v>
      </c>
    </row>
    <row r="222" spans="1:9" x14ac:dyDescent="0.2">
      <c r="A222" t="s">
        <v>651</v>
      </c>
      <c r="B222" t="s">
        <v>652</v>
      </c>
      <c r="C222" t="s">
        <v>49</v>
      </c>
      <c r="D222" t="s">
        <v>112</v>
      </c>
      <c r="E222">
        <v>19</v>
      </c>
      <c r="F222">
        <v>0.64525956910244198</v>
      </c>
      <c r="G222">
        <v>0.01</v>
      </c>
      <c r="H222">
        <v>0.04</v>
      </c>
      <c r="I222">
        <f t="shared" si="3"/>
        <v>99.860000000000085</v>
      </c>
    </row>
    <row r="223" spans="1:9" x14ac:dyDescent="0.2">
      <c r="A223" t="s">
        <v>653</v>
      </c>
      <c r="B223" t="s">
        <v>654</v>
      </c>
      <c r="C223" t="s">
        <v>14</v>
      </c>
      <c r="D223" t="s">
        <v>115</v>
      </c>
      <c r="E223">
        <v>19</v>
      </c>
      <c r="F223">
        <v>4.7116035822212902E-3</v>
      </c>
      <c r="G223">
        <v>0.01</v>
      </c>
      <c r="H223">
        <v>0</v>
      </c>
      <c r="I223">
        <f t="shared" si="3"/>
        <v>99.87000000000009</v>
      </c>
    </row>
    <row r="224" spans="1:9" x14ac:dyDescent="0.2">
      <c r="A224" t="s">
        <v>655</v>
      </c>
      <c r="B224" t="s">
        <v>656</v>
      </c>
      <c r="C224" t="s">
        <v>572</v>
      </c>
      <c r="D224" t="s">
        <v>573</v>
      </c>
      <c r="E224">
        <v>19</v>
      </c>
      <c r="F224">
        <v>2.0040219537249299E-2</v>
      </c>
      <c r="G224">
        <v>0.01</v>
      </c>
      <c r="H224">
        <v>0</v>
      </c>
      <c r="I224">
        <f t="shared" si="3"/>
        <v>99.880000000000095</v>
      </c>
    </row>
    <row r="225" spans="1:9" x14ac:dyDescent="0.2">
      <c r="A225" t="s">
        <v>657</v>
      </c>
      <c r="B225" t="s">
        <v>658</v>
      </c>
      <c r="C225" t="s">
        <v>14</v>
      </c>
      <c r="D225" t="s">
        <v>659</v>
      </c>
      <c r="E225">
        <v>17</v>
      </c>
      <c r="F225">
        <v>6.4900591834184798E-2</v>
      </c>
      <c r="G225">
        <v>0.01</v>
      </c>
      <c r="H225">
        <v>0</v>
      </c>
      <c r="I225">
        <f t="shared" si="3"/>
        <v>99.8900000000001</v>
      </c>
    </row>
    <row r="226" spans="1:9" x14ac:dyDescent="0.2">
      <c r="A226" t="s">
        <v>660</v>
      </c>
      <c r="B226" t="s">
        <v>661</v>
      </c>
      <c r="C226" t="s">
        <v>97</v>
      </c>
      <c r="D226" t="s">
        <v>313</v>
      </c>
      <c r="E226">
        <v>16</v>
      </c>
      <c r="F226">
        <v>2.7888703384080001E-2</v>
      </c>
      <c r="G226">
        <v>0.01</v>
      </c>
      <c r="H226">
        <v>0</v>
      </c>
      <c r="I226">
        <f t="shared" si="3"/>
        <v>99.900000000000105</v>
      </c>
    </row>
    <row r="227" spans="1:9" x14ac:dyDescent="0.2">
      <c r="A227" t="s">
        <v>662</v>
      </c>
      <c r="B227" t="s">
        <v>663</v>
      </c>
      <c r="C227" t="s">
        <v>49</v>
      </c>
      <c r="D227" t="s">
        <v>664</v>
      </c>
      <c r="E227">
        <v>16</v>
      </c>
      <c r="F227">
        <v>0.318679231789332</v>
      </c>
      <c r="G227">
        <v>0.01</v>
      </c>
      <c r="H227">
        <v>0.02</v>
      </c>
      <c r="I227">
        <f t="shared" si="3"/>
        <v>99.91000000000011</v>
      </c>
    </row>
    <row r="228" spans="1:9" x14ac:dyDescent="0.2">
      <c r="A228" t="s">
        <v>665</v>
      </c>
      <c r="B228" t="s">
        <v>666</v>
      </c>
      <c r="C228" t="s">
        <v>41</v>
      </c>
      <c r="D228" t="s">
        <v>42</v>
      </c>
      <c r="E228">
        <v>14</v>
      </c>
      <c r="F228">
        <v>8.3677891124690901E-2</v>
      </c>
      <c r="G228">
        <v>0.01</v>
      </c>
      <c r="H228">
        <v>0.01</v>
      </c>
      <c r="I228">
        <f t="shared" si="3"/>
        <v>99.920000000000115</v>
      </c>
    </row>
    <row r="229" spans="1:9" x14ac:dyDescent="0.2">
      <c r="A229" t="s">
        <v>667</v>
      </c>
      <c r="B229" t="s">
        <v>668</v>
      </c>
      <c r="C229" t="s">
        <v>66</v>
      </c>
      <c r="D229" t="s">
        <v>669</v>
      </c>
      <c r="E229">
        <v>14</v>
      </c>
      <c r="F229">
        <v>0.158649643608121</v>
      </c>
      <c r="G229">
        <v>0.01</v>
      </c>
      <c r="H229">
        <v>0.01</v>
      </c>
      <c r="I229">
        <f t="shared" si="3"/>
        <v>99.930000000000121</v>
      </c>
    </row>
    <row r="230" spans="1:9" x14ac:dyDescent="0.2">
      <c r="A230" t="s">
        <v>670</v>
      </c>
      <c r="B230" t="s">
        <v>671</v>
      </c>
      <c r="C230" t="s">
        <v>249</v>
      </c>
      <c r="D230" t="s">
        <v>250</v>
      </c>
      <c r="E230">
        <v>13</v>
      </c>
      <c r="F230">
        <v>3.0961180999290801E-2</v>
      </c>
      <c r="G230">
        <v>0.01</v>
      </c>
      <c r="H230">
        <v>0</v>
      </c>
      <c r="I230">
        <f t="shared" si="3"/>
        <v>99.940000000000126</v>
      </c>
    </row>
    <row r="231" spans="1:9" x14ac:dyDescent="0.2">
      <c r="A231" t="s">
        <v>672</v>
      </c>
      <c r="B231" t="s">
        <v>673</v>
      </c>
      <c r="C231" t="s">
        <v>403</v>
      </c>
      <c r="D231" t="s">
        <v>404</v>
      </c>
      <c r="E231">
        <v>13</v>
      </c>
      <c r="F231">
        <v>1.01583398453826E-2</v>
      </c>
      <c r="G231">
        <v>0.01</v>
      </c>
      <c r="H231">
        <v>0</v>
      </c>
      <c r="I231">
        <f t="shared" si="3"/>
        <v>99.950000000000131</v>
      </c>
    </row>
    <row r="232" spans="1:9" x14ac:dyDescent="0.2">
      <c r="A232" t="s">
        <v>674</v>
      </c>
      <c r="B232" t="s">
        <v>675</v>
      </c>
      <c r="C232" t="s">
        <v>89</v>
      </c>
      <c r="D232" t="s">
        <v>676</v>
      </c>
      <c r="E232">
        <v>12</v>
      </c>
      <c r="F232">
        <v>0.26979526470131099</v>
      </c>
      <c r="G232">
        <v>0.01</v>
      </c>
      <c r="H232">
        <v>0.02</v>
      </c>
      <c r="I232">
        <f t="shared" si="3"/>
        <v>99.960000000000136</v>
      </c>
    </row>
    <row r="233" spans="1:9" x14ac:dyDescent="0.2">
      <c r="A233" t="s">
        <v>677</v>
      </c>
      <c r="B233" t="s">
        <v>678</v>
      </c>
      <c r="C233" t="s">
        <v>679</v>
      </c>
      <c r="D233" t="s">
        <v>680</v>
      </c>
      <c r="E233">
        <v>11</v>
      </c>
      <c r="F233">
        <v>4.93465666062617E-3</v>
      </c>
      <c r="G233">
        <v>0.01</v>
      </c>
      <c r="H233">
        <v>0</v>
      </c>
      <c r="I233">
        <f t="shared" si="3"/>
        <v>99.970000000000141</v>
      </c>
    </row>
    <row r="234" spans="1:9" x14ac:dyDescent="0.2">
      <c r="A234" t="s">
        <v>681</v>
      </c>
      <c r="B234" t="s">
        <v>682</v>
      </c>
      <c r="C234" t="s">
        <v>18</v>
      </c>
      <c r="D234" t="s">
        <v>683</v>
      </c>
      <c r="E234">
        <v>11</v>
      </c>
      <c r="F234">
        <v>0.23438637390270001</v>
      </c>
      <c r="G234">
        <v>0.01</v>
      </c>
      <c r="H234">
        <v>0.01</v>
      </c>
      <c r="I234">
        <f t="shared" si="3"/>
        <v>99.980000000000146</v>
      </c>
    </row>
    <row r="235" spans="1:9" x14ac:dyDescent="0.2">
      <c r="A235" t="s">
        <v>684</v>
      </c>
      <c r="B235" t="s">
        <v>685</v>
      </c>
      <c r="C235" t="s">
        <v>414</v>
      </c>
      <c r="D235" t="s">
        <v>415</v>
      </c>
      <c r="E235">
        <v>10</v>
      </c>
      <c r="F235">
        <v>1.57707951210208E-3</v>
      </c>
      <c r="G235">
        <v>0</v>
      </c>
      <c r="H235">
        <v>0</v>
      </c>
      <c r="I235">
        <f t="shared" si="3"/>
        <v>99.980000000000146</v>
      </c>
    </row>
    <row r="236" spans="1:9" x14ac:dyDescent="0.2">
      <c r="A236" t="s">
        <v>686</v>
      </c>
      <c r="B236" t="s">
        <v>687</v>
      </c>
      <c r="C236" t="s">
        <v>29</v>
      </c>
      <c r="D236" t="s">
        <v>228</v>
      </c>
      <c r="E236">
        <v>9</v>
      </c>
      <c r="F236">
        <v>1.24650542512809E-2</v>
      </c>
      <c r="G236">
        <v>0</v>
      </c>
      <c r="H236">
        <v>0</v>
      </c>
      <c r="I236">
        <f t="shared" si="3"/>
        <v>99.980000000000146</v>
      </c>
    </row>
    <row r="237" spans="1:9" x14ac:dyDescent="0.2">
      <c r="A237" t="s">
        <v>688</v>
      </c>
      <c r="B237" t="s">
        <v>689</v>
      </c>
      <c r="C237" t="s">
        <v>49</v>
      </c>
      <c r="D237" t="s">
        <v>690</v>
      </c>
      <c r="E237">
        <v>9</v>
      </c>
      <c r="F237">
        <v>0.50693288837039296</v>
      </c>
      <c r="G237">
        <v>0</v>
      </c>
      <c r="H237">
        <v>0.03</v>
      </c>
      <c r="I237">
        <f t="shared" si="3"/>
        <v>99.980000000000146</v>
      </c>
    </row>
    <row r="238" spans="1:9" x14ac:dyDescent="0.2">
      <c r="A238" t="s">
        <v>691</v>
      </c>
      <c r="B238" t="s">
        <v>692</v>
      </c>
      <c r="C238" t="s">
        <v>97</v>
      </c>
      <c r="D238" t="s">
        <v>313</v>
      </c>
      <c r="E238">
        <v>8</v>
      </c>
      <c r="F238">
        <v>9.4750434432268101E-3</v>
      </c>
      <c r="G238">
        <v>0</v>
      </c>
      <c r="H238">
        <v>0</v>
      </c>
      <c r="I238">
        <f t="shared" si="3"/>
        <v>99.980000000000146</v>
      </c>
    </row>
    <row r="239" spans="1:9" x14ac:dyDescent="0.2">
      <c r="A239" t="s">
        <v>693</v>
      </c>
      <c r="B239" t="s">
        <v>694</v>
      </c>
      <c r="C239" t="s">
        <v>89</v>
      </c>
      <c r="D239" t="s">
        <v>676</v>
      </c>
      <c r="E239">
        <v>8</v>
      </c>
      <c r="F239">
        <v>1.8294279420016799E-2</v>
      </c>
      <c r="G239">
        <v>0</v>
      </c>
      <c r="H239">
        <v>0</v>
      </c>
      <c r="I239">
        <f t="shared" si="3"/>
        <v>99.980000000000146</v>
      </c>
    </row>
    <row r="240" spans="1:9" x14ac:dyDescent="0.2">
      <c r="A240" t="s">
        <v>695</v>
      </c>
      <c r="B240" t="s">
        <v>696</v>
      </c>
      <c r="C240" t="s">
        <v>89</v>
      </c>
      <c r="D240" t="s">
        <v>676</v>
      </c>
      <c r="E240">
        <v>8</v>
      </c>
      <c r="F240">
        <v>11.399344341774301</v>
      </c>
      <c r="G240">
        <v>0</v>
      </c>
      <c r="H240">
        <v>0.73</v>
      </c>
      <c r="I240">
        <f t="shared" si="3"/>
        <v>99.980000000000146</v>
      </c>
    </row>
    <row r="241" spans="1:9" x14ac:dyDescent="0.2">
      <c r="A241" t="s">
        <v>697</v>
      </c>
      <c r="B241" t="s">
        <v>698</v>
      </c>
      <c r="C241" t="s">
        <v>29</v>
      </c>
      <c r="D241" t="s">
        <v>228</v>
      </c>
      <c r="E241">
        <v>8</v>
      </c>
      <c r="F241">
        <v>7.4934838769750598E-3</v>
      </c>
      <c r="G241">
        <v>0</v>
      </c>
      <c r="H241">
        <v>0</v>
      </c>
      <c r="I241">
        <f t="shared" si="3"/>
        <v>99.980000000000146</v>
      </c>
    </row>
    <row r="242" spans="1:9" x14ac:dyDescent="0.2">
      <c r="A242" t="s">
        <v>699</v>
      </c>
      <c r="B242" t="s">
        <v>700</v>
      </c>
      <c r="C242" t="s">
        <v>66</v>
      </c>
      <c r="D242" t="s">
        <v>701</v>
      </c>
      <c r="E242">
        <v>8</v>
      </c>
      <c r="F242">
        <v>1.43249713499857</v>
      </c>
      <c r="G242">
        <v>0</v>
      </c>
      <c r="H242">
        <v>0.09</v>
      </c>
      <c r="I242">
        <f t="shared" si="3"/>
        <v>99.980000000000146</v>
      </c>
    </row>
    <row r="243" spans="1:9" x14ac:dyDescent="0.2">
      <c r="A243" t="s">
        <v>702</v>
      </c>
      <c r="B243" t="s">
        <v>703</v>
      </c>
      <c r="C243" t="s">
        <v>89</v>
      </c>
      <c r="D243" t="s">
        <v>676</v>
      </c>
      <c r="E243">
        <v>7</v>
      </c>
      <c r="F243">
        <v>4.8179111506279604</v>
      </c>
      <c r="G243">
        <v>0</v>
      </c>
      <c r="H243">
        <v>0.31</v>
      </c>
      <c r="I243">
        <f t="shared" si="3"/>
        <v>99.980000000000146</v>
      </c>
    </row>
    <row r="244" spans="1:9" x14ac:dyDescent="0.2">
      <c r="A244" t="s">
        <v>704</v>
      </c>
      <c r="B244" t="s">
        <v>705</v>
      </c>
      <c r="C244" t="s">
        <v>89</v>
      </c>
      <c r="D244" t="s">
        <v>676</v>
      </c>
      <c r="E244">
        <v>7</v>
      </c>
      <c r="F244">
        <v>2.8106934117761599</v>
      </c>
      <c r="G244">
        <v>0</v>
      </c>
      <c r="H244">
        <v>0.18</v>
      </c>
      <c r="I244">
        <f t="shared" si="3"/>
        <v>99.980000000000146</v>
      </c>
    </row>
    <row r="245" spans="1:9" x14ac:dyDescent="0.2">
      <c r="A245" t="s">
        <v>706</v>
      </c>
      <c r="B245" t="s">
        <v>707</v>
      </c>
      <c r="C245" t="s">
        <v>414</v>
      </c>
      <c r="D245" t="s">
        <v>415</v>
      </c>
      <c r="E245">
        <v>7</v>
      </c>
      <c r="F245">
        <v>7.6274728036506603E-2</v>
      </c>
      <c r="G245">
        <v>0</v>
      </c>
      <c r="H245">
        <v>0</v>
      </c>
      <c r="I245">
        <f t="shared" si="3"/>
        <v>99.980000000000146</v>
      </c>
    </row>
    <row r="246" spans="1:9" x14ac:dyDescent="0.2">
      <c r="A246" t="s">
        <v>708</v>
      </c>
      <c r="B246" t="s">
        <v>709</v>
      </c>
      <c r="C246" t="s">
        <v>49</v>
      </c>
      <c r="D246" t="s">
        <v>710</v>
      </c>
      <c r="E246">
        <v>7</v>
      </c>
      <c r="F246">
        <v>6.7473556217474806E-2</v>
      </c>
      <c r="G246">
        <v>0</v>
      </c>
      <c r="H246">
        <v>0</v>
      </c>
      <c r="I246">
        <f t="shared" si="3"/>
        <v>99.980000000000146</v>
      </c>
    </row>
    <row r="247" spans="1:9" x14ac:dyDescent="0.2">
      <c r="A247" t="s">
        <v>711</v>
      </c>
      <c r="B247" t="s">
        <v>712</v>
      </c>
      <c r="C247" t="s">
        <v>14</v>
      </c>
      <c r="D247" t="s">
        <v>713</v>
      </c>
      <c r="E247">
        <v>7</v>
      </c>
      <c r="F247">
        <v>0.77907178119128195</v>
      </c>
      <c r="G247">
        <v>0</v>
      </c>
      <c r="H247">
        <v>0.05</v>
      </c>
      <c r="I247">
        <f t="shared" si="3"/>
        <v>99.980000000000146</v>
      </c>
    </row>
    <row r="248" spans="1:9" x14ac:dyDescent="0.2">
      <c r="A248" t="s">
        <v>714</v>
      </c>
      <c r="B248" t="s">
        <v>715</v>
      </c>
      <c r="C248" t="s">
        <v>29</v>
      </c>
      <c r="D248" t="s">
        <v>228</v>
      </c>
      <c r="E248">
        <v>6</v>
      </c>
      <c r="F248">
        <v>4.9268026789921898E-3</v>
      </c>
      <c r="G248">
        <v>0</v>
      </c>
      <c r="H248">
        <v>0</v>
      </c>
      <c r="I248">
        <f t="shared" si="3"/>
        <v>99.980000000000146</v>
      </c>
    </row>
    <row r="249" spans="1:9" x14ac:dyDescent="0.2">
      <c r="A249" t="s">
        <v>716</v>
      </c>
      <c r="B249" t="s">
        <v>717</v>
      </c>
      <c r="C249" t="s">
        <v>169</v>
      </c>
      <c r="D249" t="s">
        <v>170</v>
      </c>
      <c r="E249">
        <v>6</v>
      </c>
      <c r="F249">
        <v>0.50440783327506999</v>
      </c>
      <c r="G249">
        <v>0</v>
      </c>
      <c r="H249">
        <v>0.03</v>
      </c>
      <c r="I249">
        <f t="shared" si="3"/>
        <v>99.980000000000146</v>
      </c>
    </row>
    <row r="250" spans="1:9" x14ac:dyDescent="0.2">
      <c r="A250" t="s">
        <v>718</v>
      </c>
      <c r="B250" t="s">
        <v>719</v>
      </c>
      <c r="C250" t="s">
        <v>564</v>
      </c>
      <c r="D250" t="s">
        <v>720</v>
      </c>
      <c r="E250">
        <v>6</v>
      </c>
      <c r="F250">
        <v>8.0603842713153295E-2</v>
      </c>
      <c r="G250">
        <v>0</v>
      </c>
      <c r="H250">
        <v>0.01</v>
      </c>
      <c r="I250">
        <f t="shared" si="3"/>
        <v>99.980000000000146</v>
      </c>
    </row>
    <row r="251" spans="1:9" x14ac:dyDescent="0.2">
      <c r="A251" t="s">
        <v>721</v>
      </c>
      <c r="B251" t="s">
        <v>722</v>
      </c>
      <c r="C251" t="s">
        <v>97</v>
      </c>
      <c r="D251" t="s">
        <v>723</v>
      </c>
      <c r="E251">
        <v>5</v>
      </c>
      <c r="F251">
        <v>4.2105195539737196E-3</v>
      </c>
      <c r="G251">
        <v>0</v>
      </c>
      <c r="H251">
        <v>0</v>
      </c>
      <c r="I251">
        <f t="shared" si="3"/>
        <v>99.980000000000146</v>
      </c>
    </row>
    <row r="252" spans="1:9" x14ac:dyDescent="0.2">
      <c r="A252" t="s">
        <v>724</v>
      </c>
      <c r="B252" t="s">
        <v>725</v>
      </c>
      <c r="C252" t="s">
        <v>89</v>
      </c>
      <c r="D252" t="s">
        <v>676</v>
      </c>
      <c r="E252">
        <v>5</v>
      </c>
      <c r="F252">
        <v>4.7993946035277002</v>
      </c>
      <c r="G252">
        <v>0</v>
      </c>
      <c r="H252">
        <v>0.31</v>
      </c>
      <c r="I252">
        <f t="shared" si="3"/>
        <v>99.980000000000146</v>
      </c>
    </row>
    <row r="253" spans="1:9" x14ac:dyDescent="0.2">
      <c r="A253" t="s">
        <v>726</v>
      </c>
      <c r="B253" t="s">
        <v>727</v>
      </c>
      <c r="C253" t="s">
        <v>89</v>
      </c>
      <c r="D253" t="s">
        <v>676</v>
      </c>
      <c r="E253">
        <v>5</v>
      </c>
      <c r="F253">
        <v>2.1971576452896699</v>
      </c>
      <c r="G253">
        <v>0</v>
      </c>
      <c r="H253">
        <v>0.14000000000000001</v>
      </c>
      <c r="I253">
        <f t="shared" si="3"/>
        <v>99.980000000000146</v>
      </c>
    </row>
    <row r="254" spans="1:9" x14ac:dyDescent="0.2">
      <c r="A254" t="s">
        <v>728</v>
      </c>
      <c r="B254" t="s">
        <v>729</v>
      </c>
      <c r="C254" t="s">
        <v>49</v>
      </c>
      <c r="D254" t="s">
        <v>112</v>
      </c>
      <c r="E254">
        <v>5</v>
      </c>
      <c r="F254">
        <v>0.172339133596139</v>
      </c>
      <c r="G254">
        <v>0</v>
      </c>
      <c r="H254">
        <v>0.01</v>
      </c>
      <c r="I254">
        <f t="shared" si="3"/>
        <v>99.980000000000146</v>
      </c>
    </row>
    <row r="255" spans="1:9" x14ac:dyDescent="0.2">
      <c r="A255" t="s">
        <v>730</v>
      </c>
      <c r="B255" t="s">
        <v>731</v>
      </c>
      <c r="C255" t="s">
        <v>403</v>
      </c>
      <c r="D255" t="s">
        <v>404</v>
      </c>
      <c r="E255">
        <v>5</v>
      </c>
      <c r="F255">
        <v>6.4913158204799098E-3</v>
      </c>
      <c r="G255">
        <v>0</v>
      </c>
      <c r="H255">
        <v>0</v>
      </c>
      <c r="I255">
        <f t="shared" si="3"/>
        <v>99.980000000000146</v>
      </c>
    </row>
    <row r="256" spans="1:9" x14ac:dyDescent="0.2">
      <c r="A256" t="s">
        <v>732</v>
      </c>
      <c r="B256" t="s">
        <v>733</v>
      </c>
      <c r="C256" t="s">
        <v>89</v>
      </c>
      <c r="D256" t="s">
        <v>187</v>
      </c>
      <c r="E256">
        <v>4</v>
      </c>
      <c r="F256">
        <v>9.6305522795795094E-3</v>
      </c>
      <c r="G256">
        <v>0</v>
      </c>
      <c r="H256">
        <v>0</v>
      </c>
      <c r="I256">
        <f t="shared" si="3"/>
        <v>99.980000000000146</v>
      </c>
    </row>
    <row r="257" spans="1:9" x14ac:dyDescent="0.2">
      <c r="A257" t="s">
        <v>734</v>
      </c>
      <c r="B257" t="s">
        <v>735</v>
      </c>
      <c r="C257" t="s">
        <v>89</v>
      </c>
      <c r="D257" t="s">
        <v>676</v>
      </c>
      <c r="E257">
        <v>4</v>
      </c>
      <c r="F257">
        <v>4.0204531984315397E-3</v>
      </c>
      <c r="G257">
        <v>0</v>
      </c>
      <c r="H257">
        <v>0</v>
      </c>
      <c r="I257">
        <f t="shared" si="3"/>
        <v>99.980000000000146</v>
      </c>
    </row>
    <row r="258" spans="1:9" x14ac:dyDescent="0.2">
      <c r="A258" t="s">
        <v>736</v>
      </c>
      <c r="B258" t="s">
        <v>737</v>
      </c>
      <c r="C258" t="s">
        <v>89</v>
      </c>
      <c r="D258" t="s">
        <v>676</v>
      </c>
      <c r="E258">
        <v>4</v>
      </c>
      <c r="F258">
        <v>0.462112571379791</v>
      </c>
      <c r="G258">
        <v>0</v>
      </c>
      <c r="H258">
        <v>0.03</v>
      </c>
      <c r="I258">
        <f t="shared" si="3"/>
        <v>99.980000000000146</v>
      </c>
    </row>
    <row r="259" spans="1:9" x14ac:dyDescent="0.2">
      <c r="A259" t="s">
        <v>738</v>
      </c>
      <c r="B259" t="s">
        <v>739</v>
      </c>
      <c r="C259" t="s">
        <v>414</v>
      </c>
      <c r="D259" t="s">
        <v>415</v>
      </c>
      <c r="E259">
        <v>4</v>
      </c>
      <c r="F259">
        <v>1.7891370162193901E-3</v>
      </c>
      <c r="G259">
        <v>0</v>
      </c>
      <c r="H259">
        <v>0</v>
      </c>
      <c r="I259">
        <f t="shared" si="3"/>
        <v>99.980000000000146</v>
      </c>
    </row>
    <row r="260" spans="1:9" x14ac:dyDescent="0.2">
      <c r="A260" t="s">
        <v>740</v>
      </c>
      <c r="B260" t="s">
        <v>741</v>
      </c>
      <c r="C260" t="s">
        <v>14</v>
      </c>
      <c r="D260" t="s">
        <v>115</v>
      </c>
      <c r="E260">
        <v>4</v>
      </c>
      <c r="F260">
        <v>4.2254421190782702E-4</v>
      </c>
      <c r="G260">
        <v>0</v>
      </c>
      <c r="H260">
        <v>0</v>
      </c>
      <c r="I260">
        <f t="shared" si="3"/>
        <v>99.980000000000146</v>
      </c>
    </row>
    <row r="261" spans="1:9" x14ac:dyDescent="0.2">
      <c r="A261" t="s">
        <v>742</v>
      </c>
      <c r="B261" t="s">
        <v>743</v>
      </c>
      <c r="C261" t="s">
        <v>200</v>
      </c>
      <c r="D261" t="s">
        <v>387</v>
      </c>
      <c r="E261">
        <v>3</v>
      </c>
      <c r="F261">
        <v>5.9454640969186805E-4</v>
      </c>
      <c r="G261">
        <v>0</v>
      </c>
      <c r="H261">
        <v>0</v>
      </c>
      <c r="I261">
        <f t="shared" ref="I261:I301" si="4">G261+I260</f>
        <v>99.980000000000146</v>
      </c>
    </row>
    <row r="262" spans="1:9" x14ac:dyDescent="0.2">
      <c r="A262" t="s">
        <v>744</v>
      </c>
      <c r="B262" t="s">
        <v>745</v>
      </c>
      <c r="C262" t="s">
        <v>14</v>
      </c>
      <c r="D262" t="s">
        <v>746</v>
      </c>
      <c r="E262">
        <v>3</v>
      </c>
      <c r="F262">
        <v>8.6122050209183801E-2</v>
      </c>
      <c r="G262">
        <v>0</v>
      </c>
      <c r="H262">
        <v>0.01</v>
      </c>
      <c r="I262">
        <f t="shared" si="4"/>
        <v>99.980000000000146</v>
      </c>
    </row>
    <row r="263" spans="1:9" x14ac:dyDescent="0.2">
      <c r="A263" t="s">
        <v>747</v>
      </c>
      <c r="B263" t="s">
        <v>748</v>
      </c>
      <c r="C263" t="s">
        <v>29</v>
      </c>
      <c r="D263" t="s">
        <v>228</v>
      </c>
      <c r="E263">
        <v>3</v>
      </c>
      <c r="F263">
        <v>5.79623844587317E-4</v>
      </c>
      <c r="G263">
        <v>0</v>
      </c>
      <c r="H263">
        <v>0</v>
      </c>
      <c r="I263">
        <f t="shared" si="4"/>
        <v>99.980000000000146</v>
      </c>
    </row>
    <row r="264" spans="1:9" x14ac:dyDescent="0.2">
      <c r="A264" t="s">
        <v>749</v>
      </c>
      <c r="B264" t="s">
        <v>750</v>
      </c>
      <c r="C264" t="s">
        <v>14</v>
      </c>
      <c r="D264" t="s">
        <v>751</v>
      </c>
      <c r="E264">
        <v>3</v>
      </c>
      <c r="F264">
        <v>9.23007775606315E-2</v>
      </c>
      <c r="G264">
        <v>0</v>
      </c>
      <c r="H264">
        <v>0.01</v>
      </c>
      <c r="I264">
        <f t="shared" si="4"/>
        <v>99.980000000000146</v>
      </c>
    </row>
    <row r="265" spans="1:9" x14ac:dyDescent="0.2">
      <c r="A265" t="s">
        <v>752</v>
      </c>
      <c r="B265" t="s">
        <v>753</v>
      </c>
      <c r="C265" t="s">
        <v>49</v>
      </c>
      <c r="D265" t="s">
        <v>112</v>
      </c>
      <c r="E265">
        <v>3</v>
      </c>
      <c r="F265">
        <v>2.5429621734482599E-2</v>
      </c>
      <c r="G265">
        <v>0</v>
      </c>
      <c r="H265">
        <v>0</v>
      </c>
      <c r="I265">
        <f t="shared" si="4"/>
        <v>99.980000000000146</v>
      </c>
    </row>
    <row r="266" spans="1:9" x14ac:dyDescent="0.2">
      <c r="A266" t="s">
        <v>754</v>
      </c>
      <c r="B266" t="s">
        <v>755</v>
      </c>
      <c r="C266" t="s">
        <v>756</v>
      </c>
      <c r="D266" t="s">
        <v>757</v>
      </c>
      <c r="E266">
        <v>3</v>
      </c>
      <c r="F266">
        <v>0.26522974517748199</v>
      </c>
      <c r="G266">
        <v>0</v>
      </c>
      <c r="H266">
        <v>0.02</v>
      </c>
      <c r="I266">
        <f t="shared" si="4"/>
        <v>99.980000000000146</v>
      </c>
    </row>
    <row r="267" spans="1:9" x14ac:dyDescent="0.2">
      <c r="A267" t="s">
        <v>758</v>
      </c>
      <c r="B267" t="s">
        <v>759</v>
      </c>
      <c r="C267" t="s">
        <v>444</v>
      </c>
      <c r="D267" t="s">
        <v>760</v>
      </c>
      <c r="E267">
        <v>3</v>
      </c>
      <c r="F267">
        <v>6.8756111418302804E-2</v>
      </c>
      <c r="G267">
        <v>0</v>
      </c>
      <c r="H267">
        <v>0</v>
      </c>
      <c r="I267">
        <f t="shared" si="4"/>
        <v>99.980000000000146</v>
      </c>
    </row>
    <row r="268" spans="1:9" x14ac:dyDescent="0.2">
      <c r="A268" t="s">
        <v>761</v>
      </c>
      <c r="B268" t="s">
        <v>762</v>
      </c>
      <c r="C268" t="s">
        <v>128</v>
      </c>
      <c r="D268" t="s">
        <v>618</v>
      </c>
      <c r="E268">
        <v>3</v>
      </c>
      <c r="F268">
        <v>0.168754576378393</v>
      </c>
      <c r="G268">
        <v>0</v>
      </c>
      <c r="H268">
        <v>0.01</v>
      </c>
      <c r="I268">
        <f t="shared" si="4"/>
        <v>99.980000000000146</v>
      </c>
    </row>
    <row r="269" spans="1:9" x14ac:dyDescent="0.2">
      <c r="A269" t="s">
        <v>763</v>
      </c>
      <c r="B269" t="s">
        <v>764</v>
      </c>
      <c r="C269" t="s">
        <v>403</v>
      </c>
      <c r="D269" t="s">
        <v>404</v>
      </c>
      <c r="E269">
        <v>3</v>
      </c>
      <c r="F269">
        <v>1.34695785022662E-3</v>
      </c>
      <c r="G269">
        <v>0</v>
      </c>
      <c r="H269">
        <v>0</v>
      </c>
      <c r="I269">
        <f t="shared" si="4"/>
        <v>99.980000000000146</v>
      </c>
    </row>
    <row r="270" spans="1:9" x14ac:dyDescent="0.2">
      <c r="A270" t="s">
        <v>765</v>
      </c>
      <c r="B270" t="s">
        <v>766</v>
      </c>
      <c r="C270" t="s">
        <v>403</v>
      </c>
      <c r="D270" t="s">
        <v>404</v>
      </c>
      <c r="E270">
        <v>3</v>
      </c>
      <c r="F270">
        <v>5.6580083691152201E-3</v>
      </c>
      <c r="G270">
        <v>0</v>
      </c>
      <c r="H270">
        <v>0</v>
      </c>
      <c r="I270">
        <f t="shared" si="4"/>
        <v>99.980000000000146</v>
      </c>
    </row>
    <row r="271" spans="1:9" x14ac:dyDescent="0.2">
      <c r="A271" t="s">
        <v>767</v>
      </c>
      <c r="B271" t="s">
        <v>768</v>
      </c>
      <c r="C271" t="s">
        <v>165</v>
      </c>
      <c r="D271" t="s">
        <v>769</v>
      </c>
      <c r="E271">
        <v>3</v>
      </c>
      <c r="F271">
        <v>4.8953867524563002E-3</v>
      </c>
      <c r="G271">
        <v>0</v>
      </c>
      <c r="H271">
        <v>0</v>
      </c>
      <c r="I271">
        <f t="shared" si="4"/>
        <v>99.980000000000146</v>
      </c>
    </row>
    <row r="272" spans="1:9" x14ac:dyDescent="0.2">
      <c r="A272" t="s">
        <v>770</v>
      </c>
      <c r="B272" t="s">
        <v>771</v>
      </c>
      <c r="C272" t="s">
        <v>772</v>
      </c>
      <c r="D272" t="s">
        <v>773</v>
      </c>
      <c r="E272">
        <v>2</v>
      </c>
      <c r="F272">
        <v>9.2896894766650202E-3</v>
      </c>
      <c r="G272">
        <v>0</v>
      </c>
      <c r="H272">
        <v>0</v>
      </c>
      <c r="I272">
        <f t="shared" si="4"/>
        <v>99.980000000000146</v>
      </c>
    </row>
    <row r="273" spans="1:9" x14ac:dyDescent="0.2">
      <c r="A273" t="s">
        <v>774</v>
      </c>
      <c r="B273" t="s">
        <v>775</v>
      </c>
      <c r="C273" t="s">
        <v>49</v>
      </c>
      <c r="D273" t="s">
        <v>112</v>
      </c>
      <c r="E273">
        <v>2</v>
      </c>
      <c r="F273">
        <v>2.4897121779699101E-4</v>
      </c>
      <c r="G273">
        <v>0</v>
      </c>
      <c r="H273">
        <v>0</v>
      </c>
      <c r="I273">
        <f t="shared" si="4"/>
        <v>99.980000000000146</v>
      </c>
    </row>
    <row r="274" spans="1:9" x14ac:dyDescent="0.2">
      <c r="A274" t="s">
        <v>776</v>
      </c>
      <c r="B274" t="s">
        <v>777</v>
      </c>
      <c r="C274" t="s">
        <v>29</v>
      </c>
      <c r="D274" t="s">
        <v>228</v>
      </c>
      <c r="E274">
        <v>2</v>
      </c>
      <c r="F274">
        <v>3.8091810924776302E-4</v>
      </c>
      <c r="G274">
        <v>0</v>
      </c>
      <c r="H274">
        <v>0</v>
      </c>
      <c r="I274">
        <f t="shared" si="4"/>
        <v>99.980000000000146</v>
      </c>
    </row>
    <row r="275" spans="1:9" x14ac:dyDescent="0.2">
      <c r="A275" t="s">
        <v>778</v>
      </c>
      <c r="B275" t="s">
        <v>779</v>
      </c>
      <c r="C275" t="s">
        <v>542</v>
      </c>
      <c r="D275" t="s">
        <v>780</v>
      </c>
      <c r="E275">
        <v>2</v>
      </c>
      <c r="F275">
        <v>6.2360614173757401E-4</v>
      </c>
      <c r="G275">
        <v>0</v>
      </c>
      <c r="H275">
        <v>0</v>
      </c>
      <c r="I275">
        <f t="shared" si="4"/>
        <v>99.980000000000146</v>
      </c>
    </row>
    <row r="276" spans="1:9" x14ac:dyDescent="0.2">
      <c r="A276" t="s">
        <v>781</v>
      </c>
      <c r="B276" t="s">
        <v>782</v>
      </c>
      <c r="C276" t="s">
        <v>49</v>
      </c>
      <c r="D276" t="s">
        <v>783</v>
      </c>
      <c r="E276">
        <v>2</v>
      </c>
      <c r="F276">
        <v>4.2103624743410402E-2</v>
      </c>
      <c r="G276">
        <v>0</v>
      </c>
      <c r="H276">
        <v>0</v>
      </c>
      <c r="I276">
        <f t="shared" si="4"/>
        <v>99.980000000000146</v>
      </c>
    </row>
    <row r="277" spans="1:9" x14ac:dyDescent="0.2">
      <c r="A277" t="s">
        <v>784</v>
      </c>
      <c r="B277" t="s">
        <v>785</v>
      </c>
      <c r="C277" t="s">
        <v>14</v>
      </c>
      <c r="D277" t="s">
        <v>115</v>
      </c>
      <c r="E277">
        <v>2</v>
      </c>
      <c r="F277">
        <v>4.40608369665969E-4</v>
      </c>
      <c r="G277">
        <v>0</v>
      </c>
      <c r="H277">
        <v>0</v>
      </c>
      <c r="I277">
        <f t="shared" si="4"/>
        <v>99.980000000000146</v>
      </c>
    </row>
    <row r="278" spans="1:9" x14ac:dyDescent="0.2">
      <c r="A278" t="s">
        <v>786</v>
      </c>
      <c r="B278" t="s">
        <v>787</v>
      </c>
      <c r="C278" t="s">
        <v>101</v>
      </c>
      <c r="D278" t="s">
        <v>788</v>
      </c>
      <c r="E278">
        <v>2</v>
      </c>
      <c r="F278">
        <v>1.3233959053247E-3</v>
      </c>
      <c r="G278">
        <v>0</v>
      </c>
      <c r="H278">
        <v>0</v>
      </c>
      <c r="I278">
        <f t="shared" si="4"/>
        <v>99.980000000000146</v>
      </c>
    </row>
    <row r="279" spans="1:9" x14ac:dyDescent="0.2">
      <c r="A279" t="s">
        <v>789</v>
      </c>
      <c r="B279" t="s">
        <v>790</v>
      </c>
      <c r="C279" t="s">
        <v>679</v>
      </c>
      <c r="D279" t="s">
        <v>791</v>
      </c>
      <c r="E279">
        <v>2</v>
      </c>
      <c r="F279">
        <v>1.2699888302136701E-3</v>
      </c>
      <c r="G279">
        <v>0</v>
      </c>
      <c r="H279">
        <v>0</v>
      </c>
      <c r="I279">
        <f t="shared" si="4"/>
        <v>99.980000000000146</v>
      </c>
    </row>
    <row r="280" spans="1:9" x14ac:dyDescent="0.2">
      <c r="A280" t="s">
        <v>792</v>
      </c>
      <c r="B280" t="s">
        <v>793</v>
      </c>
      <c r="C280" t="s">
        <v>14</v>
      </c>
      <c r="D280" t="s">
        <v>794</v>
      </c>
      <c r="E280">
        <v>1</v>
      </c>
      <c r="F280" s="1">
        <v>9.5033177771091206E-5</v>
      </c>
      <c r="G280">
        <v>0</v>
      </c>
      <c r="H280">
        <v>0</v>
      </c>
      <c r="I280">
        <f t="shared" si="4"/>
        <v>99.980000000000146</v>
      </c>
    </row>
    <row r="281" spans="1:9" x14ac:dyDescent="0.2">
      <c r="A281" t="s">
        <v>795</v>
      </c>
      <c r="B281" t="s">
        <v>796</v>
      </c>
      <c r="C281" t="s">
        <v>14</v>
      </c>
      <c r="D281" t="s">
        <v>255</v>
      </c>
      <c r="E281">
        <v>1</v>
      </c>
      <c r="F281">
        <v>2.26980069221863E-4</v>
      </c>
      <c r="G281">
        <v>0</v>
      </c>
      <c r="H281">
        <v>0</v>
      </c>
      <c r="I281">
        <f t="shared" si="4"/>
        <v>99.980000000000146</v>
      </c>
    </row>
    <row r="282" spans="1:9" x14ac:dyDescent="0.2">
      <c r="A282" t="s">
        <v>797</v>
      </c>
      <c r="B282" t="s">
        <v>798</v>
      </c>
      <c r="C282" t="s">
        <v>799</v>
      </c>
      <c r="D282" t="s">
        <v>800</v>
      </c>
      <c r="E282">
        <v>1</v>
      </c>
      <c r="F282">
        <v>1.19459060652752E-3</v>
      </c>
      <c r="G282">
        <v>0</v>
      </c>
      <c r="H282">
        <v>0</v>
      </c>
      <c r="I282">
        <f t="shared" si="4"/>
        <v>99.980000000000146</v>
      </c>
    </row>
    <row r="283" spans="1:9" x14ac:dyDescent="0.2">
      <c r="A283" t="s">
        <v>801</v>
      </c>
      <c r="B283" t="s">
        <v>802</v>
      </c>
      <c r="C283" t="s">
        <v>165</v>
      </c>
      <c r="D283" t="s">
        <v>166</v>
      </c>
      <c r="E283">
        <v>1</v>
      </c>
      <c r="F283">
        <v>1.7203361371057699E-2</v>
      </c>
      <c r="G283">
        <v>0</v>
      </c>
      <c r="H283">
        <v>0</v>
      </c>
      <c r="I283">
        <f t="shared" si="4"/>
        <v>99.980000000000146</v>
      </c>
    </row>
    <row r="284" spans="1:9" x14ac:dyDescent="0.2">
      <c r="A284" t="s">
        <v>803</v>
      </c>
      <c r="B284" t="s">
        <v>804</v>
      </c>
      <c r="C284" t="s">
        <v>135</v>
      </c>
      <c r="D284" t="s">
        <v>805</v>
      </c>
      <c r="E284">
        <v>1</v>
      </c>
      <c r="F284">
        <v>2.03331730521965E-2</v>
      </c>
      <c r="G284">
        <v>0</v>
      </c>
      <c r="H284">
        <v>0</v>
      </c>
      <c r="I284">
        <f t="shared" si="4"/>
        <v>99.980000000000146</v>
      </c>
    </row>
    <row r="285" spans="1:9" x14ac:dyDescent="0.2">
      <c r="A285" t="s">
        <v>806</v>
      </c>
      <c r="B285" t="s">
        <v>807</v>
      </c>
      <c r="C285" t="s">
        <v>403</v>
      </c>
      <c r="D285" t="s">
        <v>474</v>
      </c>
      <c r="E285">
        <v>1</v>
      </c>
      <c r="F285">
        <v>4.3373613573624098E-2</v>
      </c>
      <c r="G285">
        <v>0</v>
      </c>
      <c r="H285">
        <v>0</v>
      </c>
      <c r="I285">
        <f t="shared" si="4"/>
        <v>99.980000000000146</v>
      </c>
    </row>
    <row r="286" spans="1:9" x14ac:dyDescent="0.2">
      <c r="A286" t="s">
        <v>808</v>
      </c>
      <c r="B286" t="s">
        <v>809</v>
      </c>
      <c r="C286" t="s">
        <v>29</v>
      </c>
      <c r="D286" t="s">
        <v>228</v>
      </c>
      <c r="E286">
        <v>1</v>
      </c>
      <c r="F286">
        <v>6.5580746643686895E-4</v>
      </c>
      <c r="G286">
        <v>0</v>
      </c>
      <c r="H286">
        <v>0</v>
      </c>
      <c r="I286">
        <f t="shared" si="4"/>
        <v>99.980000000000146</v>
      </c>
    </row>
    <row r="287" spans="1:9" x14ac:dyDescent="0.2">
      <c r="A287" t="s">
        <v>810</v>
      </c>
      <c r="B287" t="s">
        <v>811</v>
      </c>
      <c r="C287" t="s">
        <v>122</v>
      </c>
      <c r="D287" t="s">
        <v>123</v>
      </c>
      <c r="E287">
        <v>1</v>
      </c>
      <c r="F287">
        <v>2.8352873698647902E-4</v>
      </c>
      <c r="G287">
        <v>0</v>
      </c>
      <c r="H287">
        <v>0</v>
      </c>
      <c r="I287">
        <f t="shared" si="4"/>
        <v>99.980000000000146</v>
      </c>
    </row>
    <row r="288" spans="1:9" x14ac:dyDescent="0.2">
      <c r="A288" t="s">
        <v>812</v>
      </c>
      <c r="B288" t="s">
        <v>813</v>
      </c>
      <c r="C288" t="s">
        <v>89</v>
      </c>
      <c r="D288" t="s">
        <v>676</v>
      </c>
      <c r="E288">
        <v>1</v>
      </c>
      <c r="F288">
        <v>2.54469004940773E-4</v>
      </c>
      <c r="G288">
        <v>0</v>
      </c>
      <c r="H288">
        <v>0</v>
      </c>
      <c r="I288">
        <f t="shared" si="4"/>
        <v>99.980000000000146</v>
      </c>
    </row>
    <row r="289" spans="1:9" x14ac:dyDescent="0.2">
      <c r="A289" t="s">
        <v>814</v>
      </c>
      <c r="B289" t="s">
        <v>815</v>
      </c>
      <c r="C289" t="s">
        <v>89</v>
      </c>
      <c r="D289" t="s">
        <v>676</v>
      </c>
      <c r="E289">
        <v>1</v>
      </c>
      <c r="F289">
        <v>0.30483580376128799</v>
      </c>
      <c r="G289">
        <v>0</v>
      </c>
      <c r="H289">
        <v>0.02</v>
      </c>
      <c r="I289">
        <f t="shared" si="4"/>
        <v>99.980000000000146</v>
      </c>
    </row>
    <row r="290" spans="1:9" x14ac:dyDescent="0.2">
      <c r="A290" t="s">
        <v>816</v>
      </c>
      <c r="B290" t="s">
        <v>817</v>
      </c>
      <c r="C290" t="s">
        <v>118</v>
      </c>
      <c r="D290" t="s">
        <v>818</v>
      </c>
      <c r="E290">
        <v>1</v>
      </c>
      <c r="F290">
        <v>7.0685834705770396E-4</v>
      </c>
      <c r="G290">
        <v>0</v>
      </c>
      <c r="H290">
        <v>0</v>
      </c>
      <c r="I290">
        <f t="shared" si="4"/>
        <v>99.980000000000146</v>
      </c>
    </row>
    <row r="291" spans="1:9" x14ac:dyDescent="0.2">
      <c r="A291" t="s">
        <v>819</v>
      </c>
      <c r="B291" t="s">
        <v>820</v>
      </c>
      <c r="C291" t="s">
        <v>89</v>
      </c>
      <c r="D291" t="s">
        <v>821</v>
      </c>
      <c r="E291">
        <v>1</v>
      </c>
      <c r="F291">
        <v>0.14119574022294001</v>
      </c>
      <c r="G291">
        <v>0</v>
      </c>
      <c r="H291">
        <v>0.01</v>
      </c>
      <c r="I291">
        <f t="shared" si="4"/>
        <v>99.980000000000146</v>
      </c>
    </row>
    <row r="292" spans="1:9" x14ac:dyDescent="0.2">
      <c r="A292" t="s">
        <v>822</v>
      </c>
      <c r="B292" t="s">
        <v>823</v>
      </c>
      <c r="C292" t="s">
        <v>29</v>
      </c>
      <c r="D292" t="s">
        <v>228</v>
      </c>
      <c r="E292">
        <v>1</v>
      </c>
      <c r="F292">
        <v>6.5345127194667697E-4</v>
      </c>
      <c r="G292">
        <v>0</v>
      </c>
      <c r="H292">
        <v>0</v>
      </c>
      <c r="I292">
        <f t="shared" si="4"/>
        <v>99.980000000000146</v>
      </c>
    </row>
    <row r="293" spans="1:9" x14ac:dyDescent="0.2">
      <c r="A293" t="s">
        <v>824</v>
      </c>
      <c r="B293" t="s">
        <v>825</v>
      </c>
      <c r="C293" t="s">
        <v>29</v>
      </c>
      <c r="D293" t="s">
        <v>228</v>
      </c>
      <c r="E293">
        <v>1</v>
      </c>
      <c r="F293">
        <v>2.0106192982974699E-4</v>
      </c>
      <c r="G293">
        <v>0</v>
      </c>
      <c r="H293">
        <v>0</v>
      </c>
      <c r="I293">
        <f t="shared" si="4"/>
        <v>99.980000000000146</v>
      </c>
    </row>
    <row r="294" spans="1:9" x14ac:dyDescent="0.2">
      <c r="A294" t="s">
        <v>826</v>
      </c>
      <c r="B294" t="s">
        <v>827</v>
      </c>
      <c r="C294" t="s">
        <v>105</v>
      </c>
      <c r="D294" t="s">
        <v>343</v>
      </c>
      <c r="E294">
        <v>1</v>
      </c>
      <c r="F294">
        <v>1.5614500886504699E-2</v>
      </c>
      <c r="G294">
        <v>0</v>
      </c>
      <c r="H294">
        <v>0</v>
      </c>
      <c r="I294">
        <f t="shared" si="4"/>
        <v>99.980000000000146</v>
      </c>
    </row>
    <row r="295" spans="1:9" x14ac:dyDescent="0.2">
      <c r="A295" t="s">
        <v>828</v>
      </c>
      <c r="B295" t="s">
        <v>829</v>
      </c>
      <c r="C295" t="s">
        <v>49</v>
      </c>
      <c r="D295" t="s">
        <v>411</v>
      </c>
      <c r="E295">
        <v>1</v>
      </c>
      <c r="F295">
        <v>1.1499014510302E-2</v>
      </c>
      <c r="G295">
        <v>0</v>
      </c>
      <c r="H295">
        <v>0</v>
      </c>
      <c r="I295">
        <f t="shared" si="4"/>
        <v>99.980000000000146</v>
      </c>
    </row>
    <row r="296" spans="1:9" x14ac:dyDescent="0.2">
      <c r="A296" t="s">
        <v>830</v>
      </c>
      <c r="B296" t="s">
        <v>831</v>
      </c>
      <c r="C296" t="s">
        <v>66</v>
      </c>
      <c r="D296" t="s">
        <v>832</v>
      </c>
      <c r="E296">
        <v>1</v>
      </c>
      <c r="F296">
        <v>0.15136271944811999</v>
      </c>
      <c r="G296">
        <v>0</v>
      </c>
      <c r="H296">
        <v>0.01</v>
      </c>
      <c r="I296">
        <f t="shared" si="4"/>
        <v>99.980000000000146</v>
      </c>
    </row>
    <row r="297" spans="1:9" x14ac:dyDescent="0.2">
      <c r="A297" t="s">
        <v>833</v>
      </c>
      <c r="B297" t="s">
        <v>834</v>
      </c>
      <c r="C297" t="s">
        <v>89</v>
      </c>
      <c r="D297" t="s">
        <v>835</v>
      </c>
      <c r="E297">
        <v>1</v>
      </c>
      <c r="F297">
        <v>3.4636059005827501E-4</v>
      </c>
      <c r="G297">
        <v>0</v>
      </c>
      <c r="H297">
        <v>0</v>
      </c>
      <c r="I297">
        <f t="shared" si="4"/>
        <v>99.980000000000146</v>
      </c>
    </row>
    <row r="298" spans="1:9" x14ac:dyDescent="0.2">
      <c r="A298" t="s">
        <v>836</v>
      </c>
      <c r="B298" t="s">
        <v>837</v>
      </c>
      <c r="C298" t="s">
        <v>101</v>
      </c>
      <c r="D298" t="s">
        <v>102</v>
      </c>
      <c r="E298">
        <v>1</v>
      </c>
      <c r="F298">
        <v>2.2619467105846499E-4</v>
      </c>
      <c r="G298">
        <v>0</v>
      </c>
      <c r="H298">
        <v>0</v>
      </c>
      <c r="I298">
        <f t="shared" si="4"/>
        <v>99.980000000000146</v>
      </c>
    </row>
    <row r="299" spans="1:9" x14ac:dyDescent="0.2">
      <c r="A299" t="s">
        <v>838</v>
      </c>
      <c r="B299" t="s">
        <v>839</v>
      </c>
      <c r="C299" t="s">
        <v>249</v>
      </c>
      <c r="D299" t="s">
        <v>840</v>
      </c>
      <c r="E299">
        <v>1</v>
      </c>
      <c r="F299">
        <v>5.2279243348387697E-2</v>
      </c>
      <c r="G299">
        <v>0</v>
      </c>
      <c r="H299">
        <v>0</v>
      </c>
      <c r="I299">
        <f t="shared" si="4"/>
        <v>99.980000000000146</v>
      </c>
    </row>
    <row r="300" spans="1:9" x14ac:dyDescent="0.2">
      <c r="A300" t="s">
        <v>841</v>
      </c>
      <c r="B300" t="s">
        <v>842</v>
      </c>
      <c r="C300" t="s">
        <v>440</v>
      </c>
      <c r="D300" t="s">
        <v>615</v>
      </c>
      <c r="E300">
        <v>1</v>
      </c>
      <c r="F300">
        <v>2.6420794216690199E-3</v>
      </c>
      <c r="G300">
        <v>0</v>
      </c>
      <c r="H300">
        <v>0</v>
      </c>
      <c r="I300">
        <f t="shared" si="4"/>
        <v>99.980000000000146</v>
      </c>
    </row>
    <row r="301" spans="1:9" x14ac:dyDescent="0.2">
      <c r="A301" t="s">
        <v>843</v>
      </c>
      <c r="B301" t="s">
        <v>844</v>
      </c>
      <c r="C301" t="s">
        <v>66</v>
      </c>
      <c r="D301" t="s">
        <v>845</v>
      </c>
      <c r="E301">
        <v>1</v>
      </c>
      <c r="F301">
        <v>4.9480869692202598E-2</v>
      </c>
      <c r="G301">
        <v>0</v>
      </c>
      <c r="H301">
        <v>0</v>
      </c>
      <c r="I301">
        <f t="shared" si="4"/>
        <v>99.980000000000146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census-9_species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Medina-Vega, Jose A.</cp:lastModifiedBy>
  <dcterms:created xsi:type="dcterms:W3CDTF">2026-10-28T15:48:52Z</dcterms:created>
  <dcterms:modified xsi:type="dcterms:W3CDTF">2026-10-28T15:51:02Z</dcterms:modified>
</cp:coreProperties>
</file>