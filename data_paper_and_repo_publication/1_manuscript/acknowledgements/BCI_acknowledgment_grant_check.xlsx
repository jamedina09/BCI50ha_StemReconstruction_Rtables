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edinaja/GDrive_Science/STRI/STEM_TABLES_FORESTGEO/3_BCI/BCI50ha_StemReconstruction_Rtables/data_paper_and_repo_publication/1_manuscript/acknowledgements/"/>
    </mc:Choice>
  </mc:AlternateContent>
  <xr:revisionPtr revIDLastSave="0" documentId="13_ncr:1_{E2B6354E-4F37-A74C-A169-9EC06EE45247}" xr6:coauthVersionLast="47" xr6:coauthVersionMax="47" xr10:uidLastSave="{00000000-0000-0000-0000-000000000000}"/>
  <bookViews>
    <workbookView xWindow="960" yWindow="660" windowWidth="29280" windowHeight="16260" tabRatio="500" xr2:uid="{00000000-000D-0000-FFFF-FFFF00000000}"/>
  </bookViews>
  <sheets>
    <sheet name="Grant codes" sheetId="1" r:id="rId1"/>
    <sheet name="People" sheetId="2" r:id="rId2"/>
  </sheets>
  <definedNames>
    <definedName name="_xlnm._FilterDatabase" localSheetId="0" hidden="1">'Grant codes'!$A$1:$L$17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<sst xmlns="http://schemas.openxmlformats.org/spreadsheetml/2006/main" count="158" uniqueCount="112">
  <si>
    <t>Correct</t>
  </si>
  <si>
    <t>Not correct</t>
  </si>
  <si>
    <t>#</t>
  </si>
  <si>
    <t>Code in text</t>
  </si>
  <si>
    <t>Status</t>
  </si>
  <si>
    <t>Problem</t>
  </si>
  <si>
    <t>Likely correct code</t>
  </si>
  <si>
    <t>NSF award title (of the likely correct code where the text code is wrong)</t>
  </si>
  <si>
    <t>Awardee</t>
  </si>
  <si>
    <t>Award years</t>
  </si>
  <si>
    <t>Notes</t>
  </si>
  <si>
    <t>NSF check of the code in the text</t>
  </si>
  <si>
    <t>NSF record of the likely correct code</t>
  </si>
  <si>
    <t>Also cited in</t>
  </si>
  <si>
    <t>DEB-0640386</t>
  </si>
  <si>
    <t>LTREB: Long-Term Studies of Seedling and Small Sapling Community Dynamics in a Neotropical Forest</t>
  </si>
  <si>
    <t>University of Georgia</t>
  </si>
  <si>
    <t>2007–2008</t>
  </si>
  <si>
    <t>Continued at UCLA as DEB-0823728 (see row 16).</t>
  </si>
  <si>
    <t>NSF record</t>
  </si>
  <si>
    <t>DEB-0425651</t>
  </si>
  <si>
    <t>The Dynamics of a Neotropical Forest: the 2005 Recensus and the Annual Seedling and Small Sapling Census</t>
  </si>
  <si>
    <t>2004–2007</t>
  </si>
  <si>
    <t>Comita et al. 2010</t>
  </si>
  <si>
    <t>DEB-0346488</t>
  </si>
  <si>
    <t>The Neutral Theory of Biodiversity and Biogeography: New Theoretical Approaches</t>
  </si>
  <si>
    <t>2004–2008</t>
  </si>
  <si>
    <t>Theory grant, not a census grant.</t>
  </si>
  <si>
    <t>DEB-0129874</t>
  </si>
  <si>
    <t>Theoretical and Empirical Studies of Seed and Pollen Dispersal in Tropical Trees</t>
  </si>
  <si>
    <t>2002–2005</t>
  </si>
  <si>
    <t>Not a census grant.</t>
  </si>
  <si>
    <t>DEB-00753102</t>
  </si>
  <si>
    <t>Has 8 digits; NSF award numbers have 7, and no such award exists.</t>
  </si>
  <si>
    <t>DEB-0075102</t>
  </si>
  <si>
    <t>Long-Term Studies of Small-Sapling Community Dynamics in Relation to Light Gaps in a Neotropical Forest</t>
  </si>
  <si>
    <t>2000–2006</t>
  </si>
  <si>
    <t>Invalid format (8 digits)</t>
  </si>
  <si>
    <t>NSF record (0075102)</t>
  </si>
  <si>
    <t>Comita et al. 2010 (as DEB-0075102)</t>
  </si>
  <si>
    <t>DEB-9909347</t>
  </si>
  <si>
    <t>No NSF record.</t>
  </si>
  <si>
    <t>DEB-9909947</t>
  </si>
  <si>
    <t>The Dynamics of a Neotropical Forest: The Year 2000 Recensus</t>
  </si>
  <si>
    <t>2000–2003</t>
  </si>
  <si>
    <t>No record found</t>
  </si>
  <si>
    <t>NSF record (9909947)</t>
  </si>
  <si>
    <t>Condit et al. 2017 (as 9909947)</t>
  </si>
  <si>
    <t>DEB-9615226</t>
  </si>
  <si>
    <t>What Causes Large Local-Scale Variation in Tree Diversity in a Neotropical Forest? An Experimental Approach</t>
  </si>
  <si>
    <t>Princeton University</t>
  </si>
  <si>
    <t>1997–2000</t>
  </si>
  <si>
    <t>Listed twice in the ForestGEO statement; once in the draft.</t>
  </si>
  <si>
    <t>DEB-9405933</t>
  </si>
  <si>
    <t>The Dynamics of a Neotropical Forest: The 1995 Recensus Including Seedling and Small Sapling Populations</t>
  </si>
  <si>
    <t>1994–1997</t>
  </si>
  <si>
    <t>Condit et al. 2017</t>
  </si>
  <si>
    <t>DEB-9221033</t>
  </si>
  <si>
    <t>Possibly DEB-9221032</t>
  </si>
  <si>
    <t>Do Mammals and Insects Control Tropical Forest Diversity? A Community-level Experimental Test</t>
  </si>
  <si>
    <t>1993–1996</t>
  </si>
  <si>
    <t>Weakest match: no BCI paper reviewed cites this number. Confirm with S. P. Hubbell.</t>
  </si>
  <si>
    <t>NSF search (9221032)</t>
  </si>
  <si>
    <t>DEB-9100058</t>
  </si>
  <si>
    <t>Impact of Logging on the Demography and Population Genetics of Mahogany in Bolivia</t>
  </si>
  <si>
    <t>1991–1994</t>
  </si>
  <si>
    <t>Valid award, but a Bolivia project, not BCI.</t>
  </si>
  <si>
    <t>DEB-8906869</t>
  </si>
  <si>
    <t>Dynamics of a Neotropical Forest: The First Decade</t>
  </si>
  <si>
    <t>1990–1992</t>
  </si>
  <si>
    <t>DEB-8605042</t>
  </si>
  <si>
    <t>Habitat Variation in the Demography and Life History of Tropical Trees</t>
  </si>
  <si>
    <t>University of Iowa</t>
  </si>
  <si>
    <t>1986–1988</t>
  </si>
  <si>
    <t>DEB-8206992</t>
  </si>
  <si>
    <t>The Structure and Dynamics of a Tropical Forest</t>
  </si>
  <si>
    <t>1982–1986</t>
  </si>
  <si>
    <t>DEB-7922197</t>
  </si>
  <si>
    <t>Demographic Analysis of a Tropical Forest in Panama</t>
  </si>
  <si>
    <t>1980–1983</t>
  </si>
  <si>
    <t>(not in text)</t>
  </si>
  <si>
    <t>Not in text</t>
  </si>
  <si>
    <t>Valid BCI grant missing from the list.</t>
  </si>
  <si>
    <t>DEB-0948585</t>
  </si>
  <si>
    <t>EAGER: The 2010 Recensus of the BCI 50 Hectare Plot</t>
  </si>
  <si>
    <t>Polistes Foundation</t>
  </si>
  <si>
    <t>2010–2012</t>
  </si>
  <si>
    <t>Suggested addition only; not added to the text.</t>
  </si>
  <si>
    <t>NSF record (0948585)</t>
  </si>
  <si>
    <t>Condit et al. 2012 and 2017</t>
  </si>
  <si>
    <t>Valid grant missing from the list.</t>
  </si>
  <si>
    <t>DEB-0823728</t>
  </si>
  <si>
    <t>University of California, Los Angeles</t>
  </si>
  <si>
    <t>2007–2014</t>
  </si>
  <si>
    <t>Continuation of DEB-0640386. Suggested addition only; not added to the text.</t>
  </si>
  <si>
    <t>NSF record (0823728)</t>
  </si>
  <si>
    <t>Name</t>
  </si>
  <si>
    <t>In final text</t>
  </si>
  <si>
    <t>Reason</t>
  </si>
  <si>
    <t>Source</t>
  </si>
  <si>
    <t>PI instruction</t>
  </si>
  <si>
    <t>Stephen P. Hubbell</t>
  </si>
  <si>
    <t>Kept</t>
  </si>
  <si>
    <t>Robin B. Foster</t>
  </si>
  <si>
    <t>Hubbell, Foster and Rubinoff 2024</t>
  </si>
  <si>
    <t>Richard Condit</t>
  </si>
  <si>
    <t>Allen Herre, Jeff Klahn, Sue Williams, Zenith Batista</t>
  </si>
  <si>
    <t>Led field work in the 1980s and the 1990 census.</t>
  </si>
  <si>
    <t>Source: NSF Award API (api.nsf.gov), citations as linked. Rows 15–16 are valid codes cited for BCI elsewhere but absent from the draft.</t>
  </si>
  <si>
    <t>Not an author yet, confirm; named as grantee and co-founder.</t>
  </si>
  <si>
    <t>Not an author yet, confirm; co-founded the plot and led its botany through the first censuses.</t>
  </si>
  <si>
    <t>Not an author yet, confirm; data manager from 1991, head of the project 1995–2010.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</si>
</sst>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0" fillId="2" borderId="0" xfId="0" applyFont="1" applyFill="1"/>
  </cellXfs>
  <cellStyles count="1">
    <cellStyle name="Normal" xfId="0" builtinId="0"/>
  </cellStyles>
  <dxfs count="6"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nsf.gov/services/v1/awards/9909347.json" TargetMode="External"/><Relationship Id="rId13" Type="http://schemas.openxmlformats.org/officeDocument/2006/relationships/hyperlink" Target="https://forestecosyst.springeropen.com/articles/10.1186/s40663-017-0103-1" TargetMode="External"/><Relationship Id="rId18" Type="http://schemas.openxmlformats.org/officeDocument/2006/relationships/hyperlink" Target="https://forestecosyst.springeropen.com/articles/10.1186/s40663-017-0103-1" TargetMode="External"/><Relationship Id="rId26" Type="http://schemas.openxmlformats.org/officeDocument/2006/relationships/hyperlink" Target="https://repository.si.edu/server/api/core/bitstreams/e5cadbe3-a828-49bc-bf7e-0f3565607d0a/content" TargetMode="External"/><Relationship Id="rId3" Type="http://schemas.openxmlformats.org/officeDocument/2006/relationships/hyperlink" Target="https://repository.si.edu/server/api/core/bitstreams/e5cadbe3-a828-49bc-bf7e-0f3565607d0a/content" TargetMode="External"/><Relationship Id="rId21" Type="http://schemas.openxmlformats.org/officeDocument/2006/relationships/hyperlink" Target="https://forestecosyst.springeropen.com/articles/10.1186/s40663-017-0103-1" TargetMode="External"/><Relationship Id="rId7" Type="http://schemas.openxmlformats.org/officeDocument/2006/relationships/hyperlink" Target="https://repository.si.edu/server/api/core/bitstreams/e5cadbe3-a828-49bc-bf7e-0f3565607d0a/content" TargetMode="External"/><Relationship Id="rId12" Type="http://schemas.openxmlformats.org/officeDocument/2006/relationships/hyperlink" Target="https://api.nsf.gov/services/v1/awards/9405933.json" TargetMode="External"/><Relationship Id="rId17" Type="http://schemas.openxmlformats.org/officeDocument/2006/relationships/hyperlink" Target="https://api.nsf.gov/services/v1/awards/8906869.json" TargetMode="External"/><Relationship Id="rId25" Type="http://schemas.openxmlformats.org/officeDocument/2006/relationships/hyperlink" Target="https://api.nsf.gov/services/v1/awards.json?pdPIName=Hubbell&amp;printFields=id,title,pdPIName,startDate,expDate,awardeeName,fundsObligatedAmt&amp;rpp=50" TargetMode="External"/><Relationship Id="rId2" Type="http://schemas.openxmlformats.org/officeDocument/2006/relationships/hyperlink" Target="https://api.nsf.gov/services/v1/awards.json?pdPIName=Hubbell&amp;printFields=id,title,pdPIName,startDate,expDate,awardeeName,fundsObligatedAmt&amp;rpp=50" TargetMode="External"/><Relationship Id="rId16" Type="http://schemas.openxmlformats.org/officeDocument/2006/relationships/hyperlink" Target="https://api.nsf.gov/services/v1/awards/9100058.json" TargetMode="External"/><Relationship Id="rId20" Type="http://schemas.openxmlformats.org/officeDocument/2006/relationships/hyperlink" Target="https://api.nsf.gov/services/v1/awards/8206992.json" TargetMode="External"/><Relationship Id="rId1" Type="http://schemas.openxmlformats.org/officeDocument/2006/relationships/hyperlink" Target="https://api.nsf.gov/services/v1/awards.json?pdPIName=Hubbell&amp;printFields=id,title,pdPIName,startDate,expDate,awardeeName,fundsObligatedAmt&amp;rpp=50" TargetMode="External"/><Relationship Id="rId6" Type="http://schemas.openxmlformats.org/officeDocument/2006/relationships/hyperlink" Target="https://api.nsf.gov/services/v1/awards/0075102.json" TargetMode="External"/><Relationship Id="rId11" Type="http://schemas.openxmlformats.org/officeDocument/2006/relationships/hyperlink" Target="https://api.nsf.gov/services/v1/awards/9615226.json" TargetMode="External"/><Relationship Id="rId24" Type="http://schemas.openxmlformats.org/officeDocument/2006/relationships/hyperlink" Target="https://doi.org/10.1371/journal.pone.0049826" TargetMode="External"/><Relationship Id="rId5" Type="http://schemas.openxmlformats.org/officeDocument/2006/relationships/hyperlink" Target="https://api.nsf.gov/services/v1/awards/0129874.json" TargetMode="External"/><Relationship Id="rId15" Type="http://schemas.openxmlformats.org/officeDocument/2006/relationships/hyperlink" Target="https://api.nsf.gov/services/v1/awards.json?pdPIName=Hubbell&amp;dateStart=01/01/1980&amp;dateEnd=12/31/1999&amp;printFields=id,title,pdPIName,startDate,expDate,awardeeName&amp;rpp=50" TargetMode="External"/><Relationship Id="rId23" Type="http://schemas.openxmlformats.org/officeDocument/2006/relationships/hyperlink" Target="https://api.nsf.gov/services/v1/awards.json?pdPIName=Hubbell&amp;printFields=id,title,pdPIName,startDate,expDate,awardeeName,fundsObligatedAmt&amp;rpp=50" TargetMode="External"/><Relationship Id="rId10" Type="http://schemas.openxmlformats.org/officeDocument/2006/relationships/hyperlink" Target="https://forestecosyst.springeropen.com/articles/10.1186/s40663-017-0103-1" TargetMode="External"/><Relationship Id="rId19" Type="http://schemas.openxmlformats.org/officeDocument/2006/relationships/hyperlink" Target="https://api.nsf.gov/services/v1/awards/8605042.json" TargetMode="External"/><Relationship Id="rId4" Type="http://schemas.openxmlformats.org/officeDocument/2006/relationships/hyperlink" Target="https://api.nsf.gov/services/v1/awards.json?pdPIName=Hubbell&amp;printFields=id,title,pdPIName,startDate,expDate,awardeeName,fundsObligatedAmt&amp;rpp=50" TargetMode="External"/><Relationship Id="rId9" Type="http://schemas.openxmlformats.org/officeDocument/2006/relationships/hyperlink" Target="https://api.nsf.gov/services/v1/awards/9909947.json" TargetMode="External"/><Relationship Id="rId14" Type="http://schemas.openxmlformats.org/officeDocument/2006/relationships/hyperlink" Target="https://api.nsf.gov/services/v1/awards/9221033.json" TargetMode="External"/><Relationship Id="rId22" Type="http://schemas.openxmlformats.org/officeDocument/2006/relationships/hyperlink" Target="https://api.nsf.gov/services/v1/awards/7922197.js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5479/si.26809612" TargetMode="External"/><Relationship Id="rId2" Type="http://schemas.openxmlformats.org/officeDocument/2006/relationships/hyperlink" Target="https://doi.org/10.5479/si.26809612" TargetMode="External"/><Relationship Id="rId1" Type="http://schemas.openxmlformats.org/officeDocument/2006/relationships/hyperlink" Target="https://doi.org/10.5479/si.26809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10" sqref="A10"/>
      <selection pane="bottomRight" activeCell="E6" sqref="E6"/>
    </sheetView>
  </sheetViews>
  <sheetFormatPr baseColWidth="10" defaultColWidth="8.6640625" defaultRowHeight="15" x14ac:dyDescent="0.2"/>
  <cols>
    <col min="1" max="1" width="4" customWidth="1"/>
    <col min="2" max="2" width="13.33203125" bestFit="1" customWidth="1"/>
    <col min="3" max="3" width="9.5" bestFit="1" customWidth="1"/>
    <col min="4" max="4" width="29.33203125" bestFit="1" customWidth="1"/>
    <col min="5" max="5" width="20" customWidth="1"/>
    <col min="6" max="6" width="50.5" bestFit="1" customWidth="1"/>
    <col min="7" max="7" width="18.83203125" bestFit="1" customWidth="1"/>
    <col min="8" max="8" width="14" bestFit="1" customWidth="1"/>
    <col min="9" max="9" width="38" customWidth="1"/>
    <col min="10" max="10" width="24.33203125" bestFit="1" customWidth="1"/>
    <col min="11" max="11" width="23" bestFit="1" customWidth="1"/>
    <col min="12" max="12" width="23.33203125" bestFit="1" customWidth="1"/>
  </cols>
  <sheetData>
    <row r="1" spans="1:12" s="6" customFormat="1" ht="42" customHeight="1" x14ac:dyDescent="0.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28" x14ac:dyDescent="0.2">
      <c r="A2" s="1">
        <v>1</v>
      </c>
      <c r="B2" s="2" t="s">
        <v>14</v>
      </c>
      <c r="C2" s="1" t="s">
        <v>0</v>
      </c>
      <c r="D2" s="1"/>
      <c r="E2" s="1"/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  <c r="K2" s="1"/>
      <c r="L2" s="1"/>
    </row>
    <row r="3" spans="1:12" ht="28" x14ac:dyDescent="0.2">
      <c r="A3" s="1">
        <v>2</v>
      </c>
      <c r="B3" s="2" t="s">
        <v>20</v>
      </c>
      <c r="C3" s="1" t="s">
        <v>0</v>
      </c>
      <c r="D3" s="1"/>
      <c r="E3" s="1"/>
      <c r="F3" s="1" t="s">
        <v>21</v>
      </c>
      <c r="G3" s="1" t="s">
        <v>16</v>
      </c>
      <c r="H3" s="1" t="s">
        <v>22</v>
      </c>
      <c r="I3" s="1"/>
      <c r="J3" s="3" t="s">
        <v>19</v>
      </c>
      <c r="K3" s="1"/>
      <c r="L3" s="3" t="s">
        <v>23</v>
      </c>
    </row>
    <row r="4" spans="1:12" ht="28" x14ac:dyDescent="0.2">
      <c r="A4" s="1">
        <v>3</v>
      </c>
      <c r="B4" s="2" t="s">
        <v>24</v>
      </c>
      <c r="C4" s="1" t="s">
        <v>0</v>
      </c>
      <c r="D4" s="1"/>
      <c r="E4" s="1"/>
      <c r="F4" s="1" t="s">
        <v>25</v>
      </c>
      <c r="G4" s="1" t="s">
        <v>16</v>
      </c>
      <c r="H4" s="1" t="s">
        <v>26</v>
      </c>
      <c r="I4" s="1" t="s">
        <v>27</v>
      </c>
      <c r="J4" s="3" t="s">
        <v>19</v>
      </c>
      <c r="K4" s="1"/>
      <c r="L4" s="1"/>
    </row>
    <row r="5" spans="1:12" ht="28" x14ac:dyDescent="0.2">
      <c r="A5" s="1">
        <v>4</v>
      </c>
      <c r="B5" s="2" t="s">
        <v>28</v>
      </c>
      <c r="C5" s="1" t="s">
        <v>0</v>
      </c>
      <c r="D5" s="1"/>
      <c r="E5" s="1"/>
      <c r="F5" s="1" t="s">
        <v>29</v>
      </c>
      <c r="G5" s="1" t="s">
        <v>16</v>
      </c>
      <c r="H5" s="1" t="s">
        <v>30</v>
      </c>
      <c r="I5" s="1" t="s">
        <v>31</v>
      </c>
      <c r="J5" s="3" t="s">
        <v>19</v>
      </c>
      <c r="K5" s="1"/>
      <c r="L5" s="1"/>
    </row>
    <row r="6" spans="1:12" ht="28" x14ac:dyDescent="0.2">
      <c r="A6" s="1">
        <v>5</v>
      </c>
      <c r="B6" s="2" t="s">
        <v>32</v>
      </c>
      <c r="C6" s="1" t="s">
        <v>1</v>
      </c>
      <c r="D6" s="4" t="s">
        <v>33</v>
      </c>
      <c r="E6" s="2" t="s">
        <v>34</v>
      </c>
      <c r="F6" s="1" t="s">
        <v>35</v>
      </c>
      <c r="G6" s="1" t="s">
        <v>16</v>
      </c>
      <c r="H6" s="1" t="s">
        <v>36</v>
      </c>
      <c r="I6" s="1"/>
      <c r="J6" s="1" t="s">
        <v>37</v>
      </c>
      <c r="K6" s="3" t="s">
        <v>38</v>
      </c>
      <c r="L6" s="3" t="s">
        <v>39</v>
      </c>
    </row>
    <row r="7" spans="1:12" ht="28" x14ac:dyDescent="0.2">
      <c r="A7" s="1">
        <v>6</v>
      </c>
      <c r="B7" s="2" t="s">
        <v>40</v>
      </c>
      <c r="C7" s="1" t="s">
        <v>1</v>
      </c>
      <c r="D7" s="1" t="s">
        <v>41</v>
      </c>
      <c r="E7" s="2" t="s">
        <v>42</v>
      </c>
      <c r="F7" s="1" t="s">
        <v>43</v>
      </c>
      <c r="G7" s="1" t="s">
        <v>16</v>
      </c>
      <c r="H7" s="1" t="s">
        <v>44</v>
      </c>
      <c r="I7" s="1"/>
      <c r="J7" s="3" t="s">
        <v>45</v>
      </c>
      <c r="K7" s="3" t="s">
        <v>46</v>
      </c>
      <c r="L7" s="3" t="s">
        <v>47</v>
      </c>
    </row>
    <row r="8" spans="1:12" ht="28" x14ac:dyDescent="0.2">
      <c r="A8" s="1">
        <v>7</v>
      </c>
      <c r="B8" s="2" t="s">
        <v>48</v>
      </c>
      <c r="C8" s="1" t="s">
        <v>0</v>
      </c>
      <c r="D8" s="1"/>
      <c r="E8" s="1"/>
      <c r="F8" s="1" t="s">
        <v>49</v>
      </c>
      <c r="G8" s="1" t="s">
        <v>50</v>
      </c>
      <c r="H8" s="1" t="s">
        <v>51</v>
      </c>
      <c r="I8" s="1" t="s">
        <v>52</v>
      </c>
      <c r="J8" s="3" t="s">
        <v>19</v>
      </c>
      <c r="K8" s="1"/>
      <c r="L8" s="1"/>
    </row>
    <row r="9" spans="1:12" ht="28" x14ac:dyDescent="0.2">
      <c r="A9" s="1">
        <v>8</v>
      </c>
      <c r="B9" s="2" t="s">
        <v>53</v>
      </c>
      <c r="C9" s="1" t="s">
        <v>0</v>
      </c>
      <c r="D9" s="1"/>
      <c r="E9" s="1"/>
      <c r="F9" s="1" t="s">
        <v>54</v>
      </c>
      <c r="G9" s="1" t="s">
        <v>50</v>
      </c>
      <c r="H9" s="1" t="s">
        <v>55</v>
      </c>
      <c r="I9" s="1"/>
      <c r="J9" s="3" t="s">
        <v>19</v>
      </c>
      <c r="K9" s="1"/>
      <c r="L9" s="3" t="s">
        <v>56</v>
      </c>
    </row>
    <row r="10" spans="1:12" ht="28" x14ac:dyDescent="0.2">
      <c r="A10" s="1">
        <v>9</v>
      </c>
      <c r="B10" s="2" t="s">
        <v>57</v>
      </c>
      <c r="C10" s="1" t="s">
        <v>1</v>
      </c>
      <c r="D10" s="1" t="s">
        <v>41</v>
      </c>
      <c r="E10" s="2" t="s">
        <v>58</v>
      </c>
      <c r="F10" s="1" t="s">
        <v>59</v>
      </c>
      <c r="G10" s="1" t="s">
        <v>50</v>
      </c>
      <c r="H10" s="1" t="s">
        <v>60</v>
      </c>
      <c r="I10" s="1" t="s">
        <v>61</v>
      </c>
      <c r="J10" s="3" t="s">
        <v>45</v>
      </c>
      <c r="K10" s="3" t="s">
        <v>62</v>
      </c>
      <c r="L10" s="1"/>
    </row>
    <row r="11" spans="1:12" ht="28" x14ac:dyDescent="0.2">
      <c r="A11" s="1">
        <v>10</v>
      </c>
      <c r="B11" s="2" t="s">
        <v>63</v>
      </c>
      <c r="C11" s="1" t="s">
        <v>0</v>
      </c>
      <c r="D11" s="1"/>
      <c r="E11" s="1"/>
      <c r="F11" s="1" t="s">
        <v>64</v>
      </c>
      <c r="G11" s="1" t="s">
        <v>50</v>
      </c>
      <c r="H11" s="1" t="s">
        <v>65</v>
      </c>
      <c r="I11" s="1" t="s">
        <v>66</v>
      </c>
      <c r="J11" s="3" t="s">
        <v>19</v>
      </c>
      <c r="K11" s="1"/>
      <c r="L11" s="1"/>
    </row>
    <row r="12" spans="1:12" x14ac:dyDescent="0.2">
      <c r="A12" s="1">
        <v>11</v>
      </c>
      <c r="B12" s="2" t="s">
        <v>67</v>
      </c>
      <c r="C12" s="1" t="s">
        <v>0</v>
      </c>
      <c r="D12" s="1"/>
      <c r="E12" s="1"/>
      <c r="F12" s="1" t="s">
        <v>68</v>
      </c>
      <c r="G12" s="1" t="s">
        <v>50</v>
      </c>
      <c r="H12" s="1" t="s">
        <v>69</v>
      </c>
      <c r="I12" s="1"/>
      <c r="J12" s="3" t="s">
        <v>19</v>
      </c>
      <c r="K12" s="1"/>
      <c r="L12" s="3" t="s">
        <v>56</v>
      </c>
    </row>
    <row r="13" spans="1:12" ht="28" x14ac:dyDescent="0.2">
      <c r="A13" s="1">
        <v>12</v>
      </c>
      <c r="B13" s="2" t="s">
        <v>70</v>
      </c>
      <c r="C13" s="1" t="s">
        <v>0</v>
      </c>
      <c r="D13" s="1"/>
      <c r="E13" s="1"/>
      <c r="F13" s="1" t="s">
        <v>71</v>
      </c>
      <c r="G13" s="1" t="s">
        <v>72</v>
      </c>
      <c r="H13" s="1" t="s">
        <v>73</v>
      </c>
      <c r="I13" s="1"/>
      <c r="J13" s="3" t="s">
        <v>19</v>
      </c>
      <c r="K13" s="1"/>
      <c r="L13" s="1"/>
    </row>
    <row r="14" spans="1:12" x14ac:dyDescent="0.2">
      <c r="A14" s="1">
        <v>13</v>
      </c>
      <c r="B14" s="2" t="s">
        <v>74</v>
      </c>
      <c r="C14" s="1" t="s">
        <v>0</v>
      </c>
      <c r="D14" s="1"/>
      <c r="E14" s="1"/>
      <c r="F14" s="1" t="s">
        <v>75</v>
      </c>
      <c r="G14" s="1" t="s">
        <v>72</v>
      </c>
      <c r="H14" s="1" t="s">
        <v>76</v>
      </c>
      <c r="I14" s="1"/>
      <c r="J14" s="3" t="s">
        <v>19</v>
      </c>
      <c r="K14" s="1"/>
      <c r="L14" s="3" t="s">
        <v>56</v>
      </c>
    </row>
    <row r="15" spans="1:12" x14ac:dyDescent="0.2">
      <c r="A15" s="1">
        <v>14</v>
      </c>
      <c r="B15" s="2" t="s">
        <v>77</v>
      </c>
      <c r="C15" s="1" t="s">
        <v>0</v>
      </c>
      <c r="D15" s="1"/>
      <c r="E15" s="1"/>
      <c r="F15" s="1" t="s">
        <v>78</v>
      </c>
      <c r="G15" s="1" t="s">
        <v>72</v>
      </c>
      <c r="H15" s="1" t="s">
        <v>79</v>
      </c>
      <c r="I15" s="1"/>
      <c r="J15" s="3" t="s">
        <v>19</v>
      </c>
      <c r="K15" s="1"/>
      <c r="L15" s="1"/>
    </row>
    <row r="16" spans="1:12" ht="28" x14ac:dyDescent="0.2">
      <c r="A16" s="1">
        <v>15</v>
      </c>
      <c r="B16" s="2" t="s">
        <v>80</v>
      </c>
      <c r="C16" s="1" t="s">
        <v>81</v>
      </c>
      <c r="D16" s="1" t="s">
        <v>82</v>
      </c>
      <c r="E16" s="2" t="s">
        <v>83</v>
      </c>
      <c r="F16" s="1" t="s">
        <v>84</v>
      </c>
      <c r="G16" s="1" t="s">
        <v>85</v>
      </c>
      <c r="H16" s="1" t="s">
        <v>86</v>
      </c>
      <c r="I16" s="1" t="s">
        <v>87</v>
      </c>
      <c r="J16" s="1"/>
      <c r="K16" s="3" t="s">
        <v>88</v>
      </c>
      <c r="L16" s="3" t="s">
        <v>89</v>
      </c>
    </row>
    <row r="17" spans="1:12" ht="28" x14ac:dyDescent="0.2">
      <c r="A17" s="1">
        <v>16</v>
      </c>
      <c r="B17" s="2" t="s">
        <v>80</v>
      </c>
      <c r="C17" s="1" t="s">
        <v>81</v>
      </c>
      <c r="D17" s="1" t="s">
        <v>90</v>
      </c>
      <c r="E17" s="2" t="s">
        <v>91</v>
      </c>
      <c r="F17" s="1" t="s">
        <v>15</v>
      </c>
      <c r="G17" s="1" t="s">
        <v>92</v>
      </c>
      <c r="H17" s="1" t="s">
        <v>93</v>
      </c>
      <c r="I17" s="1" t="s">
        <v>94</v>
      </c>
      <c r="J17" s="1"/>
      <c r="K17" s="3" t="s">
        <v>95</v>
      </c>
      <c r="L17" s="3" t="s">
        <v>23</v>
      </c>
    </row>
    <row r="19" spans="1:12" x14ac:dyDescent="0.2">
      <c r="A19" t="s">
        <v>108</v>
      </c>
    </row>
  </sheetData>
  <autoFilter ref="A1:L17" xr:uid="{00000000-0009-0000-0000-000000000000}"/>
  <conditionalFormatting sqref="C2:C17">
    <cfRule type="cellIs" dxfId="5" priority="2" operator="equal">
      <formula>"Correct"</formula>
    </cfRule>
    <cfRule type="cellIs" dxfId="4" priority="3" operator="equal">
      <formula>"Not correct"</formula>
    </cfRule>
    <cfRule type="cellIs" dxfId="3" priority="4" operator="equal">
      <formula>"Not in text"</formula>
    </cfRule>
  </conditionalFormatting>
  <hyperlinks>
    <hyperlink ref="J2" r:id="rId1" xr:uid="{00000000-0004-0000-0000-000001000000}"/>
    <hyperlink ref="J3" r:id="rId2" xr:uid="{00000000-0004-0000-0000-000002000000}"/>
    <hyperlink ref="L3" r:id="rId3" xr:uid="{00000000-0004-0000-0000-000003000000}"/>
    <hyperlink ref="J4" r:id="rId4" xr:uid="{00000000-0004-0000-0000-000004000000}"/>
    <hyperlink ref="J5" r:id="rId5" xr:uid="{00000000-0004-0000-0000-000005000000}"/>
    <hyperlink ref="K6" r:id="rId6" xr:uid="{00000000-0004-0000-0000-000006000000}"/>
    <hyperlink ref="L6" r:id="rId7" xr:uid="{00000000-0004-0000-0000-000007000000}"/>
    <hyperlink ref="J7" r:id="rId8" xr:uid="{00000000-0004-0000-0000-000008000000}"/>
    <hyperlink ref="K7" r:id="rId9" xr:uid="{00000000-0004-0000-0000-000009000000}"/>
    <hyperlink ref="L7" r:id="rId10" xr:uid="{00000000-0004-0000-0000-00000A000000}"/>
    <hyperlink ref="J8" r:id="rId11" xr:uid="{00000000-0004-0000-0000-00000B000000}"/>
    <hyperlink ref="J9" r:id="rId12" xr:uid="{00000000-0004-0000-0000-00000C000000}"/>
    <hyperlink ref="L9" r:id="rId13" xr:uid="{00000000-0004-0000-0000-00000D000000}"/>
    <hyperlink ref="J10" r:id="rId14" xr:uid="{00000000-0004-0000-0000-00000E000000}"/>
    <hyperlink ref="K10" r:id="rId15" xr:uid="{00000000-0004-0000-0000-00000F000000}"/>
    <hyperlink ref="J11" r:id="rId16" xr:uid="{00000000-0004-0000-0000-000010000000}"/>
    <hyperlink ref="J12" r:id="rId17" xr:uid="{00000000-0004-0000-0000-000011000000}"/>
    <hyperlink ref="L12" r:id="rId18" xr:uid="{00000000-0004-0000-0000-000012000000}"/>
    <hyperlink ref="J13" r:id="rId19" xr:uid="{00000000-0004-0000-0000-000013000000}"/>
    <hyperlink ref="J14" r:id="rId20" xr:uid="{00000000-0004-0000-0000-000014000000}"/>
    <hyperlink ref="L14" r:id="rId21" xr:uid="{00000000-0004-0000-0000-000015000000}"/>
    <hyperlink ref="J15" r:id="rId22" xr:uid="{00000000-0004-0000-0000-000016000000}"/>
    <hyperlink ref="K16" r:id="rId23" xr:uid="{00000000-0004-0000-0000-000017000000}"/>
    <hyperlink ref="L16" r:id="rId24" xr:uid="{00000000-0004-0000-0000-000018000000}"/>
    <hyperlink ref="K17" r:id="rId25" xr:uid="{00000000-0004-0000-0000-000019000000}"/>
    <hyperlink ref="L17" r:id="rId26" xr:uid="{00000000-0004-0000-00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>
      <pane ySplit="1" topLeftCell="A2" activePane="bottomLeft" state="frozen"/>
      <selection pane="bottomLeft" activeCell="A16" sqref="A16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62" customWidth="1"/>
    <col min="4" max="4" width="32" customWidth="1"/>
  </cols>
  <sheetData>
    <row r="1" spans="1:4" s="6" customFormat="1" x14ac:dyDescent="0.2">
      <c r="A1" s="5" t="s">
        <v>96</v>
      </c>
      <c r="B1" s="5" t="s">
        <v>97</v>
      </c>
      <c r="C1" s="5" t="s">
        <v>98</v>
      </c>
      <c r="D1" s="5" t="s">
        <v>99</v>
      </c>
    </row>
    <row r="2" spans="1:4" x14ac:dyDescent="0.2">
      <c r="A2" s="1" t="s">
        <v>101</v>
      </c>
      <c r="B2" s="1" t="s">
        <v>102</v>
      </c>
      <c r="C2" s="4" t="s">
        <v>109</v>
      </c>
      <c r="D2" s="1" t="s">
        <v>100</v>
      </c>
    </row>
    <row r="3" spans="1:4" ht="28" x14ac:dyDescent="0.2">
      <c r="A3" s="1" t="s">
        <v>103</v>
      </c>
      <c r="B3" s="1" t="s">
        <v>102</v>
      </c>
      <c r="C3" s="4" t="s">
        <v>110</v>
      </c>
      <c r="D3" s="3" t="s">
        <v>104</v>
      </c>
    </row>
    <row r="4" spans="1:4" ht="28" x14ac:dyDescent="0.2">
      <c r="A4" s="1" t="s">
        <v>105</v>
      </c>
      <c r="B4" s="1" t="s">
        <v>102</v>
      </c>
      <c r="C4" s="4" t="s">
        <v>111</v>
      </c>
      <c r="D4" s="3" t="s">
        <v>104</v>
      </c>
    </row>
    <row r="5" spans="1:4" ht="28" x14ac:dyDescent="0.2">
      <c r="A5" s="1" t="s">
        <v>106</v>
      </c>
      <c r="B5" s="1" t="s">
        <v>102</v>
      </c>
      <c r="C5" s="1" t="s">
        <v>107</v>
      </c>
      <c r="D5" s="3" t="s">
        <v>104</v>
      </c>
    </row>
  </sheetData>
  <conditionalFormatting sqref="B2:B5">
    <cfRule type="cellIs" dxfId="2" priority="2" operator="equal">
      <formula>"Kept"</formula>
    </cfRule>
    <cfRule type="cellIs" dxfId="1" priority="3" operator="equal">
      <formula>"Removed"</formula>
    </cfRule>
    <cfRule type="cellIs" dxfId="0" priority="4" operator="equal">
      <formula>"Left out"</formula>
    </cfRule>
  </conditionalFormatting>
  <hyperlinks>
    <hyperlink ref="D3" r:id="rId1" xr:uid="{00000000-0004-0000-0100-000000000000}"/>
    <hyperlink ref="D4" r:id="rId2" xr:uid="{00000000-0004-0000-0100-000001000000}"/>
    <hyperlink ref="D5" r:id="rId3" xr:uid="{00000000-0004-0000-0100-00000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Grant codes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Medina-Vega, Jose A.</cp:lastModifiedBy>
  <cp:revision>0</cp:revision>
  <dcterms:created xsi:type="dcterms:W3CDTF">2026-10-28T22:37:31Z</dcterms:created>
  <dcterms:modified xsi:type="dcterms:W3CDTF">2026-10-29T15:56:11Z</dcterms:modified>
  <dc:language>en-US</dc:language>
</cp:coreProperties>
</file>