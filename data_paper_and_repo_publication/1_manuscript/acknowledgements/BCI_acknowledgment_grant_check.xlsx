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rant codes" sheetId="1" state="visible" r:id="rId3"/>
    <sheet name="People" sheetId="2" state="visible" r:id="rId4"/>
  </sheets>
  <definedNames>
    <definedName function="false" hidden="true" localSheetId="0" name="_xlnm._FilterDatabase" vbProcedure="false">'Grant codes'!$A$9:$L$25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<sst xmlns="http://schemas.openxmlformats.org/spreadsheetml/2006/main" count="204" uniqueCount="138">
  <si>
    <t xml:space="preserve">BCI 50-ha plot acknowledgment: NSF grant code check</t>
  </si>
  <si>
    <t xml:space="preserve">Each code was looked up in the NSF Award API on 28 Oct 2026. The codes in the acknowledgment text were left exactly as in the draft; corrections are suggestions only. The same 14 codes, including the 3 errors, appear in the ForestGEO BCI data-use statement.</t>
  </si>
  <si>
    <t xml:space="preserve">ForestGEO statement</t>
  </si>
  <si>
    <t xml:space="preserve">Summary</t>
  </si>
  <si>
    <t xml:space="preserve">Codes in the text</t>
  </si>
  <si>
    <t xml:space="preserve">Correct</t>
  </si>
  <si>
    <t xml:space="preserve">Not correct</t>
  </si>
  <si>
    <t xml:space="preserve">Valid codes not in the text</t>
  </si>
  <si>
    <t xml:space="preserve">#</t>
  </si>
  <si>
    <t xml:space="preserve">Code in text</t>
  </si>
  <si>
    <t xml:space="preserve">Status</t>
  </si>
  <si>
    <t xml:space="preserve">Problem</t>
  </si>
  <si>
    <t xml:space="preserve">Likely correct code</t>
  </si>
  <si>
    <t xml:space="preserve">NSF award title (of the likely correct code where the text code is wrong)</t>
  </si>
  <si>
    <t xml:space="preserve">Awardee</t>
  </si>
  <si>
    <t xml:space="preserve">Award years</t>
  </si>
  <si>
    <t xml:space="preserve">Notes</t>
  </si>
  <si>
    <t xml:space="preserve">NSF check of the code in the text</t>
  </si>
  <si>
    <t xml:space="preserve">NSF record of the likely correct code</t>
  </si>
  <si>
    <t xml:space="preserve">Also cited in</t>
  </si>
  <si>
    <t xml:space="preserve">DEB-0640386</t>
  </si>
  <si>
    <t xml:space="preserve">LTREB: Long-Term Studies of Seedling and Small Sapling Community Dynamics in a Neotropical Forest</t>
  </si>
  <si>
    <t xml:space="preserve">University of Georgia</t>
  </si>
  <si>
    <t xml:space="preserve">2007–2008</t>
  </si>
  <si>
    <t xml:space="preserve">Continued at UCLA as DEB-0823728 (see row 16).</t>
  </si>
  <si>
    <t xml:space="preserve">NSF record</t>
  </si>
  <si>
    <t xml:space="preserve">DEB-0425651</t>
  </si>
  <si>
    <t xml:space="preserve">The Dynamics of a Neotropical Forest: the 2005 Recensus and the Annual Seedling and Small Sapling Census</t>
  </si>
  <si>
    <t xml:space="preserve">2004–2007</t>
  </si>
  <si>
    <t xml:space="preserve">Comita et al. 2010</t>
  </si>
  <si>
    <t xml:space="preserve">DEB-0346488</t>
  </si>
  <si>
    <t xml:space="preserve">The Neutral Theory of Biodiversity and Biogeography: New Theoretical Approaches</t>
  </si>
  <si>
    <t xml:space="preserve">2004–2008</t>
  </si>
  <si>
    <t xml:space="preserve">Theory grant, not a census grant.</t>
  </si>
  <si>
    <t xml:space="preserve">DEB-0129874</t>
  </si>
  <si>
    <t xml:space="preserve">Theoretical and Empirical Studies of Seed and Pollen Dispersal in Tropical Trees</t>
  </si>
  <si>
    <t xml:space="preserve">2002–2005</t>
  </si>
  <si>
    <t xml:space="preserve">Not a census grant.</t>
  </si>
  <si>
    <t xml:space="preserve">DEB-00753102</t>
  </si>
  <si>
    <t xml:space="preserve">Has 8 digits; NSF award numbers have 7, and no such award exists.</t>
  </si>
  <si>
    <t xml:space="preserve">DEB-0075102</t>
  </si>
  <si>
    <t xml:space="preserve">Long-Term Studies of Small-Sapling Community Dynamics in Relation to Light Gaps in a Neotropical Forest</t>
  </si>
  <si>
    <t xml:space="preserve">2000–2006</t>
  </si>
  <si>
    <t xml:space="preserve">Invalid format (8 digits)</t>
  </si>
  <si>
    <t xml:space="preserve">NSF record (0075102)</t>
  </si>
  <si>
    <t xml:space="preserve">Comita et al. 2010 (as DEB-0075102)</t>
  </si>
  <si>
    <t xml:space="preserve">DEB-9909347</t>
  </si>
  <si>
    <t xml:space="preserve">No NSF record.</t>
  </si>
  <si>
    <t xml:space="preserve">DEB-9909947</t>
  </si>
  <si>
    <t xml:space="preserve">The Dynamics of a Neotropical Forest: The Year 2000 Recensus</t>
  </si>
  <si>
    <t xml:space="preserve">2000–2003</t>
  </si>
  <si>
    <t xml:space="preserve">No record found</t>
  </si>
  <si>
    <t xml:space="preserve">NSF record (9909947)</t>
  </si>
  <si>
    <t xml:space="preserve">Condit et al. 2017 (as 9909947)</t>
  </si>
  <si>
    <t xml:space="preserve">DEB-9615226</t>
  </si>
  <si>
    <t xml:space="preserve">What Causes Large Local-Scale Variation in Tree Diversity in a Neotropical Forest? An Experimental Approach</t>
  </si>
  <si>
    <t xml:space="preserve">Princeton University</t>
  </si>
  <si>
    <t xml:space="preserve">1997–2000</t>
  </si>
  <si>
    <t xml:space="preserve">Listed twice in the ForestGEO statement; once in the draft.</t>
  </si>
  <si>
    <t xml:space="preserve">DEB-9405933</t>
  </si>
  <si>
    <t xml:space="preserve">The Dynamics of a Neotropical Forest: The 1995 Recensus Including Seedling and Small Sapling Populations</t>
  </si>
  <si>
    <t xml:space="preserve">1994–1997</t>
  </si>
  <si>
    <t xml:space="preserve">Condit et al. 2017</t>
  </si>
  <si>
    <t xml:space="preserve">DEB-9221033</t>
  </si>
  <si>
    <t xml:space="preserve">Possibly DEB-9221032</t>
  </si>
  <si>
    <t xml:space="preserve">Do Mammals and Insects Control Tropical Forest Diversity? A Community-level Experimental Test</t>
  </si>
  <si>
    <t xml:space="preserve">1993–1996</t>
  </si>
  <si>
    <t xml:space="preserve">Weakest match: no BCI paper reviewed cites this number. Confirm with S. P. Hubbell.</t>
  </si>
  <si>
    <t xml:space="preserve">NSF search (9221032)</t>
  </si>
  <si>
    <t xml:space="preserve">DEB-9100058</t>
  </si>
  <si>
    <t xml:space="preserve">Impact of Logging on the Demography and Population Genetics of Mahogany in Bolivia</t>
  </si>
  <si>
    <t xml:space="preserve">1991–1994</t>
  </si>
  <si>
    <t xml:space="preserve">Valid award, but a Bolivia project, not BCI.</t>
  </si>
  <si>
    <t xml:space="preserve">DEB-8906869</t>
  </si>
  <si>
    <t xml:space="preserve">Dynamics of a Neotropical Forest: The First Decade</t>
  </si>
  <si>
    <t xml:space="preserve">1990–1992</t>
  </si>
  <si>
    <t xml:space="preserve">DEB-8605042</t>
  </si>
  <si>
    <t xml:space="preserve">Habitat Variation in the Demography and Life History of Tropical Trees</t>
  </si>
  <si>
    <t xml:space="preserve">University of Iowa</t>
  </si>
  <si>
    <t xml:space="preserve">1986–1988</t>
  </si>
  <si>
    <t xml:space="preserve">DEB-8206992</t>
  </si>
  <si>
    <t xml:space="preserve">The Structure and Dynamics of a Tropical Forest</t>
  </si>
  <si>
    <t xml:space="preserve">1982–1986</t>
  </si>
  <si>
    <t xml:space="preserve">DEB-7922197</t>
  </si>
  <si>
    <t xml:space="preserve">Demographic Analysis of a Tropical Forest in Panama</t>
  </si>
  <si>
    <t xml:space="preserve">1980–1983</t>
  </si>
  <si>
    <t xml:space="preserve">(not in text)</t>
  </si>
  <si>
    <t xml:space="preserve">Not in text</t>
  </si>
  <si>
    <t xml:space="preserve">Valid BCI grant missing from the list.</t>
  </si>
  <si>
    <t xml:space="preserve">DEB-0948585</t>
  </si>
  <si>
    <t xml:space="preserve">EAGER: The 2010 Recensus of the BCI 50 Hectare Plot</t>
  </si>
  <si>
    <t xml:space="preserve">Polistes Foundation</t>
  </si>
  <si>
    <t xml:space="preserve">2010–2012</t>
  </si>
  <si>
    <t xml:space="preserve">Suggested addition only; not added to the text.</t>
  </si>
  <si>
    <t xml:space="preserve">NSF record (0948585)</t>
  </si>
  <si>
    <t xml:space="preserve">Condit et al. 2012 and 2017</t>
  </si>
  <si>
    <t xml:space="preserve">Valid grant missing from the list.</t>
  </si>
  <si>
    <t xml:space="preserve">DEB-0823728</t>
  </si>
  <si>
    <t xml:space="preserve">University of California, Los Angeles</t>
  </si>
  <si>
    <t xml:space="preserve">2007–2014</t>
  </si>
  <si>
    <t xml:space="preserve">Continuation of DEB-0640386. Suggested addition only; not added to the text.</t>
  </si>
  <si>
    <t xml:space="preserve">NSF record (0823728)</t>
  </si>
  <si>
    <t xml:space="preserve">Source: NSF Award API (api.nsf.gov), opened 28 Oct 2026; citations as linked. Rows 15–16 are valid codes cited for BCI elsewhere but absent from the draft.</t>
  </si>
  <si>
    <t xml:space="preserve">BCI 50-ha plot acknowledgment: people changes in the final text</t>
  </si>
  <si>
    <t xml:space="preserve">Author list and spellings as confirmed by the PI on 28 Oct 2026.</t>
  </si>
  <si>
    <t xml:space="preserve">Name</t>
  </si>
  <si>
    <t xml:space="preserve">In final text</t>
  </si>
  <si>
    <t xml:space="preserve">Reason</t>
  </si>
  <si>
    <t xml:space="preserve">Source</t>
  </si>
  <si>
    <t xml:space="preserve">Rolando Pérez</t>
  </si>
  <si>
    <t xml:space="preserve">Removed</t>
  </si>
  <si>
    <t xml:space="preserve">Author of the release.</t>
  </si>
  <si>
    <t xml:space="preserve">PI instruction</t>
  </si>
  <si>
    <t xml:space="preserve">Salomón Aguilar</t>
  </si>
  <si>
    <t xml:space="preserve">Suzanne Lao</t>
  </si>
  <si>
    <t xml:space="preserve">David Mitre</t>
  </si>
  <si>
    <t xml:space="preserve">Stuart Davies</t>
  </si>
  <si>
    <t xml:space="preserve">Author of the release; was never in the text.</t>
  </si>
  <si>
    <t xml:space="preserve">Stephen P. Hubbell</t>
  </si>
  <si>
    <t xml:space="preserve">Kept</t>
  </si>
  <si>
    <t xml:space="preserve">Not an author; named as grantee and co-founder.</t>
  </si>
  <si>
    <t xml:space="preserve">Robin B. Foster</t>
  </si>
  <si>
    <t xml:space="preserve">Not an author; co-founded the plot and led its botany through the first censuses.</t>
  </si>
  <si>
    <t xml:space="preserve">Hubbell, Foster and Rubinoff 2024</t>
  </si>
  <si>
    <t xml:space="preserve">Richard Condit</t>
  </si>
  <si>
    <t xml:space="preserve">Not an author; data manager from 1991, head of the project 1995–2010.</t>
  </si>
  <si>
    <t xml:space="preserve">Allen Herre, Jeff Klahn, Sue Williams, Zenith Batista</t>
  </si>
  <si>
    <t xml:space="preserve">Led field work in the 1980s and the 1990 census.</t>
  </si>
  <si>
    <t xml:space="preserve">Guillermo Aguilar</t>
  </si>
  <si>
    <t xml:space="preserve">On the 2022–2023 team list; a different person from Salomón Aguilar.</t>
  </si>
  <si>
    <t xml:space="preserve">PI draft</t>
  </si>
  <si>
    <t xml:space="preserve">Luis Aguilar</t>
  </si>
  <si>
    <t xml:space="preserve">Richar Martínez</t>
  </si>
  <si>
    <t xml:space="preserve">Spelling "Richar" confirmed by the PI; ForestGEO's 2020 team list spells it "Richard".</t>
  </si>
  <si>
    <t xml:space="preserve">ForestGEO blog, 2022</t>
  </si>
  <si>
    <t xml:space="preserve">Maikol Guevara</t>
  </si>
  <si>
    <t xml:space="preserve">Left out</t>
  </si>
  <si>
    <t xml:space="preserve">Appears only in ForestGEO's January 2020 team list, not in the 2022–2023 list. Add him if he worked on this census.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</si>
</sst>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tfs.si.edu/datarequest/index.php/request/terms/1" TargetMode="External"/><Relationship Id="rId2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3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4" Type="http://schemas.openxmlformats.org/officeDocument/2006/relationships/hyperlink" Target="https://repository.si.edu/server/api/core/bitstreams/e5cadbe3-a828-49bc-bf7e-0f3565607d0a/content" TargetMode="External"/><Relationship Id="rId5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6" Type="http://schemas.openxmlformats.org/officeDocument/2006/relationships/hyperlink" Target="https://api.nsf.gov/services/v1/awards/0129874.json" TargetMode="External"/><Relationship Id="rId7" Type="http://schemas.openxmlformats.org/officeDocument/2006/relationships/hyperlink" Target="https://api.nsf.gov/services/v1/awards/0075102.json" TargetMode="External"/><Relationship Id="rId8" Type="http://schemas.openxmlformats.org/officeDocument/2006/relationships/hyperlink" Target="https://repository.si.edu/server/api/core/bitstreams/e5cadbe3-a828-49bc-bf7e-0f3565607d0a/content" TargetMode="External"/><Relationship Id="rId9" Type="http://schemas.openxmlformats.org/officeDocument/2006/relationships/hyperlink" Target="https://api.nsf.gov/services/v1/awards/9909347.json" TargetMode="External"/><Relationship Id="rId10" Type="http://schemas.openxmlformats.org/officeDocument/2006/relationships/hyperlink" Target="https://api.nsf.gov/services/v1/awards/9909947.json" TargetMode="External"/><Relationship Id="rId11" Type="http://schemas.openxmlformats.org/officeDocument/2006/relationships/hyperlink" Target="https://forestecosyst.springeropen.com/articles/10.1186/s40663-017-0103-1" TargetMode="External"/><Relationship Id="rId12" Type="http://schemas.openxmlformats.org/officeDocument/2006/relationships/hyperlink" Target="https://api.nsf.gov/services/v1/awards/9615226.json" TargetMode="External"/><Relationship Id="rId13" Type="http://schemas.openxmlformats.org/officeDocument/2006/relationships/hyperlink" Target="https://api.nsf.gov/services/v1/awards/9405933.json" TargetMode="External"/><Relationship Id="rId14" Type="http://schemas.openxmlformats.org/officeDocument/2006/relationships/hyperlink" Target="https://forestecosyst.springeropen.com/articles/10.1186/s40663-017-0103-1" TargetMode="External"/><Relationship Id="rId15" Type="http://schemas.openxmlformats.org/officeDocument/2006/relationships/hyperlink" Target="https://api.nsf.gov/services/v1/awards/9221033.json" TargetMode="External"/><Relationship Id="rId16" Type="http://schemas.openxmlformats.org/officeDocument/2006/relationships/hyperlink" Target="https://api.nsf.gov/services/v1/awards.json?pdPIName=Hubbell&amp;dateStart=01/01/1980&amp;dateEnd=12/31/1999&amp;printFields=id,title,pdPIName,startDate,expDate,awardeeName&amp;rpp=50" TargetMode="External"/><Relationship Id="rId17" Type="http://schemas.openxmlformats.org/officeDocument/2006/relationships/hyperlink" Target="https://api.nsf.gov/services/v1/awards/9100058.json" TargetMode="External"/><Relationship Id="rId18" Type="http://schemas.openxmlformats.org/officeDocument/2006/relationships/hyperlink" Target="https://api.nsf.gov/services/v1/awards/8906869.json" TargetMode="External"/><Relationship Id="rId19" Type="http://schemas.openxmlformats.org/officeDocument/2006/relationships/hyperlink" Target="https://forestecosyst.springeropen.com/articles/10.1186/s40663-017-0103-1" TargetMode="External"/><Relationship Id="rId20" Type="http://schemas.openxmlformats.org/officeDocument/2006/relationships/hyperlink" Target="https://api.nsf.gov/services/v1/awards/8605042.json" TargetMode="External"/><Relationship Id="rId21" Type="http://schemas.openxmlformats.org/officeDocument/2006/relationships/hyperlink" Target="https://api.nsf.gov/services/v1/awards/8206992.json" TargetMode="External"/><Relationship Id="rId22" Type="http://schemas.openxmlformats.org/officeDocument/2006/relationships/hyperlink" Target="https://forestecosyst.springeropen.com/articles/10.1186/s40663-017-0103-1" TargetMode="External"/><Relationship Id="rId23" Type="http://schemas.openxmlformats.org/officeDocument/2006/relationships/hyperlink" Target="https://api.nsf.gov/services/v1/awards/7922197.json" TargetMode="External"/><Relationship Id="rId24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25" Type="http://schemas.openxmlformats.org/officeDocument/2006/relationships/hyperlink" Target="https://doi.org/10.1371/journal.pone.0049826" TargetMode="External"/><Relationship Id="rId26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27" Type="http://schemas.openxmlformats.org/officeDocument/2006/relationships/hyperlink" Target="https://repository.si.edu/server/api/core/bitstreams/e5cadbe3-a828-49bc-bf7e-0f3565607d0a/content" TargetMode="External"/><Relationship Id="rId2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i.org/10.5479/si.26809612" TargetMode="External"/><Relationship Id="rId2" Type="http://schemas.openxmlformats.org/officeDocument/2006/relationships/hyperlink" Target="https://doi.org/10.5479/si.26809612" TargetMode="External"/><Relationship Id="rId3" Type="http://schemas.openxmlformats.org/officeDocument/2006/relationships/hyperlink" Target="https://doi.org/10.5479/si.26809612" TargetMode="External"/><Relationship Id="rId4" Type="http://schemas.openxmlformats.org/officeDocument/2006/relationships/hyperlink" Target="https://forestgeo.si.edu/node/146977" TargetMode="External"/><Relationship Id="rId5" Type="http://schemas.openxmlformats.org/officeDocument/2006/relationships/hyperlink" Target="https://forestgeo.si.edu/node/14697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48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38"/>
    <col collapsed="false" customWidth="true" hidden="false" outlineLevel="0" max="11" min="10" style="0" width="22"/>
    <col collapsed="false" customWidth="true" hidden="false" outlineLevel="0" max="12" min="12" style="0" width="26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3" t="s">
        <v>2</v>
      </c>
    </row>
    <row r="4" customFormat="false" ht="15" hidden="false" customHeight="false" outlineLevel="0" collapsed="false">
      <c r="A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COUNTA(B10:B23)</f>
        <v>14</v>
      </c>
    </row>
    <row r="6" customFormat="false" ht="15" hidden="false" customHeight="false" outlineLevel="0" collapsed="false">
      <c r="A6" s="5" t="s">
        <v>5</v>
      </c>
      <c r="B6" s="6" t="n">
        <f aca="false">COUNTIF(C10:C25,"Correct")</f>
        <v>11</v>
      </c>
    </row>
    <row r="7" customFormat="false" ht="15" hidden="false" customHeight="false" outlineLevel="0" collapsed="false">
      <c r="A7" s="5" t="s">
        <v>6</v>
      </c>
      <c r="B7" s="6" t="n">
        <f aca="false">COUNTIF(C10:C25,"Not correct")</f>
        <v>3</v>
      </c>
    </row>
    <row r="8" customFormat="false" ht="15" hidden="false" customHeight="false" outlineLevel="0" collapsed="false">
      <c r="A8" s="5" t="s">
        <v>7</v>
      </c>
      <c r="B8" s="6" t="n">
        <f aca="false">COUNTIF(C10:C25,"Not in text")</f>
        <v>2</v>
      </c>
    </row>
    <row r="9" customFormat="false" ht="42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  <c r="J9" s="7" t="s">
        <v>17</v>
      </c>
      <c r="K9" s="7" t="s">
        <v>18</v>
      </c>
      <c r="L9" s="7" t="s">
        <v>19</v>
      </c>
    </row>
    <row r="10" customFormat="false" ht="23.85" hidden="false" customHeight="false" outlineLevel="0" collapsed="false">
      <c r="A10" s="8" t="n">
        <v>1</v>
      </c>
      <c r="B10" s="9" t="s">
        <v>20</v>
      </c>
      <c r="C10" s="8" t="s">
        <v>5</v>
      </c>
      <c r="D10" s="8"/>
      <c r="E10" s="8"/>
      <c r="F10" s="8" t="s">
        <v>21</v>
      </c>
      <c r="G10" s="8" t="s">
        <v>22</v>
      </c>
      <c r="H10" s="8" t="s">
        <v>23</v>
      </c>
      <c r="I10" s="8" t="s">
        <v>24</v>
      </c>
      <c r="J10" s="10" t="s">
        <v>25</v>
      </c>
      <c r="K10" s="8"/>
      <c r="L10" s="8"/>
    </row>
    <row r="11" customFormat="false" ht="23.85" hidden="false" customHeight="false" outlineLevel="0" collapsed="false">
      <c r="A11" s="8" t="n">
        <v>2</v>
      </c>
      <c r="B11" s="9" t="s">
        <v>26</v>
      </c>
      <c r="C11" s="8" t="s">
        <v>5</v>
      </c>
      <c r="D11" s="8"/>
      <c r="E11" s="8"/>
      <c r="F11" s="8" t="s">
        <v>27</v>
      </c>
      <c r="G11" s="8" t="s">
        <v>22</v>
      </c>
      <c r="H11" s="8" t="s">
        <v>28</v>
      </c>
      <c r="I11" s="8"/>
      <c r="J11" s="10" t="s">
        <v>25</v>
      </c>
      <c r="K11" s="8"/>
      <c r="L11" s="10" t="s">
        <v>29</v>
      </c>
    </row>
    <row r="12" customFormat="false" ht="23.85" hidden="false" customHeight="false" outlineLevel="0" collapsed="false">
      <c r="A12" s="8" t="n">
        <v>3</v>
      </c>
      <c r="B12" s="9" t="s">
        <v>30</v>
      </c>
      <c r="C12" s="8" t="s">
        <v>5</v>
      </c>
      <c r="D12" s="8"/>
      <c r="E12" s="8"/>
      <c r="F12" s="8" t="s">
        <v>31</v>
      </c>
      <c r="G12" s="8" t="s">
        <v>22</v>
      </c>
      <c r="H12" s="8" t="s">
        <v>32</v>
      </c>
      <c r="I12" s="8" t="s">
        <v>33</v>
      </c>
      <c r="J12" s="10" t="s">
        <v>25</v>
      </c>
      <c r="K12" s="8"/>
      <c r="L12" s="8"/>
    </row>
    <row r="13" customFormat="false" ht="23.85" hidden="false" customHeight="false" outlineLevel="0" collapsed="false">
      <c r="A13" s="8" t="n">
        <v>4</v>
      </c>
      <c r="B13" s="9" t="s">
        <v>34</v>
      </c>
      <c r="C13" s="8" t="s">
        <v>5</v>
      </c>
      <c r="D13" s="8"/>
      <c r="E13" s="8"/>
      <c r="F13" s="8" t="s">
        <v>35</v>
      </c>
      <c r="G13" s="8" t="s">
        <v>22</v>
      </c>
      <c r="H13" s="8" t="s">
        <v>36</v>
      </c>
      <c r="I13" s="8" t="s">
        <v>37</v>
      </c>
      <c r="J13" s="10" t="s">
        <v>25</v>
      </c>
      <c r="K13" s="8"/>
      <c r="L13" s="8"/>
    </row>
    <row r="14" customFormat="false" ht="23.85" hidden="false" customHeight="false" outlineLevel="0" collapsed="false">
      <c r="A14" s="8" t="n">
        <v>5</v>
      </c>
      <c r="B14" s="9" t="s">
        <v>38</v>
      </c>
      <c r="C14" s="8" t="s">
        <v>6</v>
      </c>
      <c r="D14" s="8" t="s">
        <v>39</v>
      </c>
      <c r="E14" s="9" t="s">
        <v>40</v>
      </c>
      <c r="F14" s="8" t="s">
        <v>41</v>
      </c>
      <c r="G14" s="8" t="s">
        <v>22</v>
      </c>
      <c r="H14" s="8" t="s">
        <v>42</v>
      </c>
      <c r="I14" s="8"/>
      <c r="J14" s="8" t="s">
        <v>43</v>
      </c>
      <c r="K14" s="10" t="s">
        <v>44</v>
      </c>
      <c r="L14" s="10" t="s">
        <v>45</v>
      </c>
    </row>
    <row r="15" customFormat="false" ht="23.85" hidden="false" customHeight="false" outlineLevel="0" collapsed="false">
      <c r="A15" s="8" t="n">
        <v>6</v>
      </c>
      <c r="B15" s="9" t="s">
        <v>46</v>
      </c>
      <c r="C15" s="8" t="s">
        <v>6</v>
      </c>
      <c r="D15" s="8" t="s">
        <v>47</v>
      </c>
      <c r="E15" s="9" t="s">
        <v>48</v>
      </c>
      <c r="F15" s="8" t="s">
        <v>49</v>
      </c>
      <c r="G15" s="8" t="s">
        <v>22</v>
      </c>
      <c r="H15" s="8" t="s">
        <v>50</v>
      </c>
      <c r="I15" s="8"/>
      <c r="J15" s="10" t="s">
        <v>51</v>
      </c>
      <c r="K15" s="10" t="s">
        <v>52</v>
      </c>
      <c r="L15" s="10" t="s">
        <v>53</v>
      </c>
    </row>
    <row r="16" customFormat="false" ht="23.85" hidden="false" customHeight="false" outlineLevel="0" collapsed="false">
      <c r="A16" s="8" t="n">
        <v>7</v>
      </c>
      <c r="B16" s="9" t="s">
        <v>54</v>
      </c>
      <c r="C16" s="8" t="s">
        <v>5</v>
      </c>
      <c r="D16" s="8"/>
      <c r="E16" s="8"/>
      <c r="F16" s="8" t="s">
        <v>55</v>
      </c>
      <c r="G16" s="8" t="s">
        <v>56</v>
      </c>
      <c r="H16" s="8" t="s">
        <v>57</v>
      </c>
      <c r="I16" s="8" t="s">
        <v>58</v>
      </c>
      <c r="J16" s="10" t="s">
        <v>25</v>
      </c>
      <c r="K16" s="8"/>
      <c r="L16" s="8"/>
    </row>
    <row r="17" customFormat="false" ht="23.85" hidden="false" customHeight="false" outlineLevel="0" collapsed="false">
      <c r="A17" s="8" t="n">
        <v>8</v>
      </c>
      <c r="B17" s="9" t="s">
        <v>59</v>
      </c>
      <c r="C17" s="8" t="s">
        <v>5</v>
      </c>
      <c r="D17" s="8"/>
      <c r="E17" s="8"/>
      <c r="F17" s="8" t="s">
        <v>60</v>
      </c>
      <c r="G17" s="8" t="s">
        <v>56</v>
      </c>
      <c r="H17" s="8" t="s">
        <v>61</v>
      </c>
      <c r="I17" s="8"/>
      <c r="J17" s="10" t="s">
        <v>25</v>
      </c>
      <c r="K17" s="8"/>
      <c r="L17" s="10" t="s">
        <v>62</v>
      </c>
    </row>
    <row r="18" customFormat="false" ht="23.85" hidden="false" customHeight="false" outlineLevel="0" collapsed="false">
      <c r="A18" s="8" t="n">
        <v>9</v>
      </c>
      <c r="B18" s="9" t="s">
        <v>63</v>
      </c>
      <c r="C18" s="8" t="s">
        <v>6</v>
      </c>
      <c r="D18" s="8" t="s">
        <v>47</v>
      </c>
      <c r="E18" s="9" t="s">
        <v>64</v>
      </c>
      <c r="F18" s="8" t="s">
        <v>65</v>
      </c>
      <c r="G18" s="8" t="s">
        <v>56</v>
      </c>
      <c r="H18" s="8" t="s">
        <v>66</v>
      </c>
      <c r="I18" s="8" t="s">
        <v>67</v>
      </c>
      <c r="J18" s="10" t="s">
        <v>51</v>
      </c>
      <c r="K18" s="10" t="s">
        <v>68</v>
      </c>
      <c r="L18" s="8"/>
    </row>
    <row r="19" customFormat="false" ht="23.85" hidden="false" customHeight="false" outlineLevel="0" collapsed="false">
      <c r="A19" s="8" t="n">
        <v>10</v>
      </c>
      <c r="B19" s="9" t="s">
        <v>69</v>
      </c>
      <c r="C19" s="8" t="s">
        <v>5</v>
      </c>
      <c r="D19" s="8"/>
      <c r="E19" s="8"/>
      <c r="F19" s="8" t="s">
        <v>70</v>
      </c>
      <c r="G19" s="8" t="s">
        <v>56</v>
      </c>
      <c r="H19" s="8" t="s">
        <v>71</v>
      </c>
      <c r="I19" s="8" t="s">
        <v>72</v>
      </c>
      <c r="J19" s="10" t="s">
        <v>25</v>
      </c>
      <c r="K19" s="8"/>
      <c r="L19" s="8"/>
    </row>
    <row r="20" customFormat="false" ht="15" hidden="false" customHeight="false" outlineLevel="0" collapsed="false">
      <c r="A20" s="8" t="n">
        <v>11</v>
      </c>
      <c r="B20" s="9" t="s">
        <v>73</v>
      </c>
      <c r="C20" s="8" t="s">
        <v>5</v>
      </c>
      <c r="D20" s="8"/>
      <c r="E20" s="8"/>
      <c r="F20" s="8" t="s">
        <v>74</v>
      </c>
      <c r="G20" s="8" t="s">
        <v>56</v>
      </c>
      <c r="H20" s="8" t="s">
        <v>75</v>
      </c>
      <c r="I20" s="8"/>
      <c r="J20" s="10" t="s">
        <v>25</v>
      </c>
      <c r="K20" s="8"/>
      <c r="L20" s="10" t="s">
        <v>62</v>
      </c>
    </row>
    <row r="21" customFormat="false" ht="23.85" hidden="false" customHeight="false" outlineLevel="0" collapsed="false">
      <c r="A21" s="8" t="n">
        <v>12</v>
      </c>
      <c r="B21" s="9" t="s">
        <v>76</v>
      </c>
      <c r="C21" s="8" t="s">
        <v>5</v>
      </c>
      <c r="D21" s="8"/>
      <c r="E21" s="8"/>
      <c r="F21" s="8" t="s">
        <v>77</v>
      </c>
      <c r="G21" s="8" t="s">
        <v>78</v>
      </c>
      <c r="H21" s="8" t="s">
        <v>79</v>
      </c>
      <c r="I21" s="8"/>
      <c r="J21" s="10" t="s">
        <v>25</v>
      </c>
      <c r="K21" s="8"/>
      <c r="L21" s="8"/>
    </row>
    <row r="22" customFormat="false" ht="15" hidden="false" customHeight="false" outlineLevel="0" collapsed="false">
      <c r="A22" s="8" t="n">
        <v>13</v>
      </c>
      <c r="B22" s="9" t="s">
        <v>80</v>
      </c>
      <c r="C22" s="8" t="s">
        <v>5</v>
      </c>
      <c r="D22" s="8"/>
      <c r="E22" s="8"/>
      <c r="F22" s="8" t="s">
        <v>81</v>
      </c>
      <c r="G22" s="8" t="s">
        <v>78</v>
      </c>
      <c r="H22" s="8" t="s">
        <v>82</v>
      </c>
      <c r="I22" s="8"/>
      <c r="J22" s="10" t="s">
        <v>25</v>
      </c>
      <c r="K22" s="8"/>
      <c r="L22" s="10" t="s">
        <v>62</v>
      </c>
    </row>
    <row r="23" customFormat="false" ht="15" hidden="false" customHeight="false" outlineLevel="0" collapsed="false">
      <c r="A23" s="8" t="n">
        <v>14</v>
      </c>
      <c r="B23" s="9" t="s">
        <v>83</v>
      </c>
      <c r="C23" s="8" t="s">
        <v>5</v>
      </c>
      <c r="D23" s="8"/>
      <c r="E23" s="8"/>
      <c r="F23" s="8" t="s">
        <v>84</v>
      </c>
      <c r="G23" s="8" t="s">
        <v>78</v>
      </c>
      <c r="H23" s="8" t="s">
        <v>85</v>
      </c>
      <c r="I23" s="8"/>
      <c r="J23" s="10" t="s">
        <v>25</v>
      </c>
      <c r="K23" s="8"/>
      <c r="L23" s="8"/>
    </row>
    <row r="24" customFormat="false" ht="15" hidden="false" customHeight="false" outlineLevel="0" collapsed="false">
      <c r="A24" s="8" t="n">
        <v>15</v>
      </c>
      <c r="B24" s="9" t="s">
        <v>86</v>
      </c>
      <c r="C24" s="8" t="s">
        <v>87</v>
      </c>
      <c r="D24" s="8" t="s">
        <v>88</v>
      </c>
      <c r="E24" s="9" t="s">
        <v>89</v>
      </c>
      <c r="F24" s="8" t="s">
        <v>90</v>
      </c>
      <c r="G24" s="8" t="s">
        <v>91</v>
      </c>
      <c r="H24" s="8" t="s">
        <v>92</v>
      </c>
      <c r="I24" s="8" t="s">
        <v>93</v>
      </c>
      <c r="J24" s="8"/>
      <c r="K24" s="10" t="s">
        <v>94</v>
      </c>
      <c r="L24" s="10" t="s">
        <v>95</v>
      </c>
    </row>
    <row r="25" customFormat="false" ht="23.85" hidden="false" customHeight="false" outlineLevel="0" collapsed="false">
      <c r="A25" s="8" t="n">
        <v>16</v>
      </c>
      <c r="B25" s="9" t="s">
        <v>86</v>
      </c>
      <c r="C25" s="8" t="s">
        <v>87</v>
      </c>
      <c r="D25" s="8" t="s">
        <v>96</v>
      </c>
      <c r="E25" s="9" t="s">
        <v>97</v>
      </c>
      <c r="F25" s="8" t="s">
        <v>21</v>
      </c>
      <c r="G25" s="8" t="s">
        <v>98</v>
      </c>
      <c r="H25" s="8" t="s">
        <v>99</v>
      </c>
      <c r="I25" s="8" t="s">
        <v>100</v>
      </c>
      <c r="J25" s="8"/>
      <c r="K25" s="10" t="s">
        <v>101</v>
      </c>
      <c r="L25" s="10" t="s">
        <v>29</v>
      </c>
    </row>
    <row r="27" customFormat="false" ht="15" hidden="false" customHeight="false" outlineLevel="0" collapsed="false">
      <c r="A27" s="11" t="s">
        <v>102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</sheetData>
  <autoFilter ref="A9:L25"/>
  <mergeCells count="2">
    <mergeCell ref="A2:K2"/>
    <mergeCell ref="A27:L27"/>
  </mergeCells>
  <conditionalFormatting sqref="C10:C25">
    <cfRule type="cellIs" priority="2" operator="equal" aboveAverage="0" equalAverage="0" bottom="0" percent="0" rank="0" text="" dxfId="7">
      <formula>"Correct"</formula>
    </cfRule>
    <cfRule type="cellIs" priority="3" operator="equal" aboveAverage="0" equalAverage="0" bottom="0" percent="0" rank="0" text="" dxfId="8">
      <formula>"Not correct"</formula>
    </cfRule>
    <cfRule type="cellIs" priority="4" operator="equal" aboveAverage="0" equalAverage="0" bottom="0" percent="0" rank="0" text="" dxfId="9">
      <formula>"Not in text"</formula>
    </cfRule>
  </conditionalFormatting>
  <hyperlinks>
    <hyperlink ref="L2" r:id="rId1" display="ForestGEO statement"/>
    <hyperlink ref="J10" r:id="rId2" display="NSF record"/>
    <hyperlink ref="J11" r:id="rId3" display="NSF record"/>
    <hyperlink ref="L11" r:id="rId4" display="Comita et al. 2010"/>
    <hyperlink ref="J12" r:id="rId5" display="NSF record"/>
    <hyperlink ref="J13" r:id="rId6" display="NSF record"/>
    <hyperlink ref="K14" r:id="rId7" display="NSF record (0075102)"/>
    <hyperlink ref="L14" r:id="rId8" display="Comita et al. 2010 (as DEB-0075102)"/>
    <hyperlink ref="J15" r:id="rId9" display="No record found"/>
    <hyperlink ref="K15" r:id="rId10" display="NSF record (9909947)"/>
    <hyperlink ref="L15" r:id="rId11" display="Condit et al. 2017 (as 9909947)"/>
    <hyperlink ref="J16" r:id="rId12" display="NSF record"/>
    <hyperlink ref="J17" r:id="rId13" display="NSF record"/>
    <hyperlink ref="L17" r:id="rId14" display="Condit et al. 2017"/>
    <hyperlink ref="J18" r:id="rId15" display="No record found"/>
    <hyperlink ref="K18" r:id="rId16" display="NSF search (9221032)"/>
    <hyperlink ref="J19" r:id="rId17" display="NSF record"/>
    <hyperlink ref="J20" r:id="rId18" display="NSF record"/>
    <hyperlink ref="L20" r:id="rId19" display="Condit et al. 2017"/>
    <hyperlink ref="J21" r:id="rId20" display="NSF record"/>
    <hyperlink ref="J22" r:id="rId21" display="NSF record"/>
    <hyperlink ref="L22" r:id="rId22" display="Condit et al. 2017"/>
    <hyperlink ref="J23" r:id="rId23" display="NSF record"/>
    <hyperlink ref="K24" r:id="rId24" display="NSF record (0948585)"/>
    <hyperlink ref="L24" r:id="rId25" display="Condit et al. 2012 and 2017"/>
    <hyperlink ref="K25" r:id="rId26" display="NSF record (0823728)"/>
    <hyperlink ref="L25" r:id="rId27" display="Comita et al. 201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62"/>
    <col collapsed="false" customWidth="true" hidden="false" outlineLevel="0" max="4" min="4" style="0" width="32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12" t="s">
        <v>104</v>
      </c>
    </row>
    <row r="4" customFormat="false" ht="15" hidden="false" customHeight="false" outlineLevel="0" collapsed="false">
      <c r="A4" s="7" t="s">
        <v>105</v>
      </c>
      <c r="B4" s="7" t="s">
        <v>106</v>
      </c>
      <c r="C4" s="7" t="s">
        <v>107</v>
      </c>
      <c r="D4" s="7" t="s">
        <v>108</v>
      </c>
    </row>
    <row r="5" customFormat="false" ht="15" hidden="false" customHeight="false" outlineLevel="0" collapsed="false">
      <c r="A5" s="8" t="s">
        <v>109</v>
      </c>
      <c r="B5" s="8" t="s">
        <v>110</v>
      </c>
      <c r="C5" s="8" t="s">
        <v>111</v>
      </c>
      <c r="D5" s="8" t="s">
        <v>112</v>
      </c>
    </row>
    <row r="6" customFormat="false" ht="15" hidden="false" customHeight="false" outlineLevel="0" collapsed="false">
      <c r="A6" s="8" t="s">
        <v>113</v>
      </c>
      <c r="B6" s="8" t="s">
        <v>110</v>
      </c>
      <c r="C6" s="8" t="s">
        <v>111</v>
      </c>
      <c r="D6" s="8" t="s">
        <v>112</v>
      </c>
    </row>
    <row r="7" customFormat="false" ht="15" hidden="false" customHeight="false" outlineLevel="0" collapsed="false">
      <c r="A7" s="8" t="s">
        <v>114</v>
      </c>
      <c r="B7" s="8" t="s">
        <v>110</v>
      </c>
      <c r="C7" s="8" t="s">
        <v>111</v>
      </c>
      <c r="D7" s="8" t="s">
        <v>112</v>
      </c>
    </row>
    <row r="8" customFormat="false" ht="15" hidden="false" customHeight="false" outlineLevel="0" collapsed="false">
      <c r="A8" s="8" t="s">
        <v>115</v>
      </c>
      <c r="B8" s="8" t="s">
        <v>110</v>
      </c>
      <c r="C8" s="8" t="s">
        <v>111</v>
      </c>
      <c r="D8" s="8" t="s">
        <v>112</v>
      </c>
    </row>
    <row r="9" customFormat="false" ht="15" hidden="false" customHeight="false" outlineLevel="0" collapsed="false">
      <c r="A9" s="8" t="s">
        <v>116</v>
      </c>
      <c r="B9" s="8" t="s">
        <v>87</v>
      </c>
      <c r="C9" s="8" t="s">
        <v>117</v>
      </c>
      <c r="D9" s="8" t="s">
        <v>112</v>
      </c>
    </row>
    <row r="10" customFormat="false" ht="15" hidden="false" customHeight="false" outlineLevel="0" collapsed="false">
      <c r="A10" s="8" t="s">
        <v>118</v>
      </c>
      <c r="B10" s="8" t="s">
        <v>119</v>
      </c>
      <c r="C10" s="8" t="s">
        <v>120</v>
      </c>
      <c r="D10" s="8" t="s">
        <v>112</v>
      </c>
    </row>
    <row r="11" customFormat="false" ht="23.85" hidden="false" customHeight="false" outlineLevel="0" collapsed="false">
      <c r="A11" s="8" t="s">
        <v>121</v>
      </c>
      <c r="B11" s="8" t="s">
        <v>119</v>
      </c>
      <c r="C11" s="8" t="s">
        <v>122</v>
      </c>
      <c r="D11" s="10" t="s">
        <v>123</v>
      </c>
    </row>
    <row r="12" customFormat="false" ht="15" hidden="false" customHeight="false" outlineLevel="0" collapsed="false">
      <c r="A12" s="8" t="s">
        <v>124</v>
      </c>
      <c r="B12" s="8" t="s">
        <v>119</v>
      </c>
      <c r="C12" s="8" t="s">
        <v>125</v>
      </c>
      <c r="D12" s="10" t="s">
        <v>123</v>
      </c>
    </row>
    <row r="13" customFormat="false" ht="23.85" hidden="false" customHeight="false" outlineLevel="0" collapsed="false">
      <c r="A13" s="8" t="s">
        <v>126</v>
      </c>
      <c r="B13" s="8" t="s">
        <v>119</v>
      </c>
      <c r="C13" s="8" t="s">
        <v>127</v>
      </c>
      <c r="D13" s="10" t="s">
        <v>123</v>
      </c>
    </row>
    <row r="14" customFormat="false" ht="15" hidden="false" customHeight="false" outlineLevel="0" collapsed="false">
      <c r="A14" s="8" t="s">
        <v>128</v>
      </c>
      <c r="B14" s="8" t="s">
        <v>119</v>
      </c>
      <c r="C14" s="8" t="s">
        <v>129</v>
      </c>
      <c r="D14" s="8" t="s">
        <v>130</v>
      </c>
    </row>
    <row r="15" customFormat="false" ht="15" hidden="false" customHeight="false" outlineLevel="0" collapsed="false">
      <c r="A15" s="8" t="s">
        <v>131</v>
      </c>
      <c r="B15" s="8" t="s">
        <v>119</v>
      </c>
      <c r="C15" s="8" t="s">
        <v>129</v>
      </c>
      <c r="D15" s="8" t="s">
        <v>130</v>
      </c>
    </row>
    <row r="16" customFormat="false" ht="23.85" hidden="false" customHeight="false" outlineLevel="0" collapsed="false">
      <c r="A16" s="8" t="s">
        <v>132</v>
      </c>
      <c r="B16" s="8" t="s">
        <v>119</v>
      </c>
      <c r="C16" s="8" t="s">
        <v>133</v>
      </c>
      <c r="D16" s="10" t="s">
        <v>134</v>
      </c>
    </row>
    <row r="17" customFormat="false" ht="23.85" hidden="false" customHeight="false" outlineLevel="0" collapsed="false">
      <c r="A17" s="8" t="s">
        <v>135</v>
      </c>
      <c r="B17" s="8" t="s">
        <v>136</v>
      </c>
      <c r="C17" s="8" t="s">
        <v>137</v>
      </c>
      <c r="D17" s="10" t="s">
        <v>134</v>
      </c>
    </row>
  </sheetData>
  <conditionalFormatting sqref="B5:B17">
    <cfRule type="cellIs" priority="2" operator="equal" aboveAverage="0" equalAverage="0" bottom="0" percent="0" rank="0" text="" dxfId="7">
      <formula>"Kept"</formula>
    </cfRule>
    <cfRule type="cellIs" priority="3" operator="equal" aboveAverage="0" equalAverage="0" bottom="0" percent="0" rank="0" text="" dxfId="8">
      <formula>"Removed"</formula>
    </cfRule>
    <cfRule type="cellIs" priority="4" operator="equal" aboveAverage="0" equalAverage="0" bottom="0" percent="0" rank="0" text="" dxfId="9">
      <formula>"Left out"</formula>
    </cfRule>
  </conditionalFormatting>
  <hyperlinks>
    <hyperlink ref="D11" r:id="rId1" display="Hubbell, Foster and Rubinoff 2024"/>
    <hyperlink ref="D12" r:id="rId2" display="Hubbell, Foster and Rubinoff 2024"/>
    <hyperlink ref="D13" r:id="rId3" display="Hubbell, Foster and Rubinoff 2024"/>
    <hyperlink ref="D16" r:id="rId4" display="ForestGEO blog, 2022"/>
    <hyperlink ref="D17" r:id="rId5" display="ForestGEO blog, 20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2026-10-28T22:37:31Z</dcterms:created>
  <dc:creator>openpyxl</dc:creator>
  <dc:description/>
  <dc:language>en-US</dc:language>
  <cp:lastModifiedBy/>
  <dcterms:modified xsi:type="dcterms:W3CDTF">2026-10-28T22:37:31Z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